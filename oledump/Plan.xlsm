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wang13\Desktop\"/>
    </mc:Choice>
  </mc:AlternateContent>
  <xr:revisionPtr revIDLastSave="0" documentId="10_ncr:100000_{56CACF45-D301-4E69-9741-D95768A1F5C4}" xr6:coauthVersionLast="31" xr6:coauthVersionMax="31" xr10:uidLastSave="{00000000-0000-0000-0000-000000000000}"/>
  <bookViews>
    <workbookView xWindow="825" yWindow="-105" windowWidth="21825" windowHeight="14025" tabRatio="681" xr2:uid="{00000000-000D-0000-FFFF-FFFF00000000}"/>
  </bookViews>
  <sheets>
    <sheet name="Skyline" sheetId="1" r:id="rId1"/>
    <sheet name="Sub-System" sheetId="2" r:id="rId2"/>
    <sheet name="INF" sheetId="3" r:id="rId3"/>
  </sheets>
  <definedNames>
    <definedName name="_xlnm._FilterDatabase" localSheetId="0" hidden="1">Skyline!#REF!</definedName>
    <definedName name="fontsize">INF!$B$14</definedName>
    <definedName name="listcomp">systemtable[Completed
(OK/ -)]</definedName>
    <definedName name="listplan">systemtable[WD Forecast date]</definedName>
    <definedName name="listresp">#REF!</definedName>
    <definedName name="liststatus">systemtable[Status
(for chart color)]</definedName>
    <definedName name="listsystem">systemtable[Sub-System]</definedName>
    <definedName name="skylinearea">Skyline!$B$2:$BC$98</definedName>
    <definedName name="skylineareabg">INF!$B$12</definedName>
    <definedName name="skylinedate">Skyline!$B$99:$BC$99</definedName>
    <definedName name="status1">INF!$B$2</definedName>
    <definedName name="status2">INF!$B$3</definedName>
    <definedName name="status3">INF!$B$4</definedName>
    <definedName name="status4">INF!$B$5</definedName>
    <definedName name="status5">INF!$B$6</definedName>
    <definedName name="status6">INF!$B$7</definedName>
    <definedName name="status7">INF!$B$8</definedName>
    <definedName name="status8">INF!$B$9</definedName>
    <definedName name="status9">INF!$B$10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6" i="2"/>
  <c r="H9" i="2" l="1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8" i="2"/>
  <c r="H7" i="2"/>
  <c r="H6" i="2"/>
  <c r="C257" i="2" l="1"/>
  <c r="C256" i="2"/>
  <c r="C258" i="2"/>
  <c r="C260" i="2"/>
  <c r="C263" i="2"/>
  <c r="C265" i="2"/>
  <c r="C267" i="2"/>
  <c r="C269" i="2"/>
  <c r="C270" i="2"/>
  <c r="C271" i="2"/>
  <c r="C272" i="2"/>
  <c r="C242" i="2"/>
  <c r="C243" i="2"/>
  <c r="C244" i="2"/>
  <c r="C245" i="2"/>
  <c r="C246" i="2"/>
  <c r="C192" i="2"/>
  <c r="C191" i="2"/>
  <c r="C238" i="2"/>
  <c r="C239" i="2"/>
  <c r="C240" i="2"/>
  <c r="C241" i="2"/>
  <c r="C284" i="2"/>
  <c r="C253" i="2"/>
  <c r="C261" i="2"/>
  <c r="C264" i="2"/>
  <c r="C266" i="2"/>
  <c r="C247" i="2"/>
  <c r="C285" i="2"/>
  <c r="C286" i="2"/>
  <c r="C287" i="2"/>
  <c r="C276" i="2"/>
  <c r="C277" i="2"/>
  <c r="C273" i="2"/>
  <c r="C280" i="2"/>
  <c r="C279" i="2"/>
  <c r="C281" i="2"/>
  <c r="C278" i="2"/>
  <c r="C283" i="2"/>
  <c r="C282" i="2"/>
  <c r="C274" i="2"/>
  <c r="C268" i="2"/>
  <c r="C248" i="2"/>
  <c r="C275" i="2"/>
  <c r="C294" i="2"/>
  <c r="C254" i="2"/>
  <c r="C259" i="2"/>
  <c r="C249" i="2"/>
  <c r="C13" i="2"/>
  <c r="C11" i="2"/>
  <c r="C7" i="2"/>
  <c r="C8" i="2"/>
  <c r="C12" i="2"/>
  <c r="C10" i="2"/>
  <c r="C9" i="2"/>
  <c r="C6" i="2"/>
  <c r="C14" i="2"/>
  <c r="C15" i="2"/>
  <c r="C16" i="2"/>
  <c r="C193" i="2"/>
  <c r="C196" i="2"/>
  <c r="C200" i="2"/>
  <c r="C201" i="2"/>
  <c r="C202" i="2"/>
  <c r="C203" i="2"/>
  <c r="C204" i="2"/>
  <c r="C70" i="2"/>
  <c r="C199" i="2"/>
  <c r="C194" i="2"/>
  <c r="C195" i="2"/>
  <c r="C197" i="2"/>
  <c r="C198" i="2"/>
  <c r="C205" i="2"/>
  <c r="C206" i="2"/>
  <c r="C208" i="2"/>
  <c r="C210" i="2"/>
  <c r="C207" i="2"/>
  <c r="C209" i="2"/>
  <c r="C211" i="2"/>
  <c r="C77" i="2"/>
  <c r="C78" i="2"/>
  <c r="C187" i="2"/>
  <c r="C188" i="2"/>
  <c r="C189" i="2"/>
  <c r="C190" i="2"/>
  <c r="C225" i="2"/>
  <c r="C227" i="2"/>
  <c r="C226" i="2"/>
  <c r="C228" i="2"/>
  <c r="C216" i="2"/>
  <c r="C232" i="2"/>
  <c r="C233" i="2"/>
  <c r="C217" i="2"/>
  <c r="C220" i="2"/>
  <c r="C222" i="2"/>
  <c r="C223" i="2"/>
  <c r="C224" i="2"/>
  <c r="C221" i="2"/>
  <c r="C108" i="2"/>
  <c r="C234" i="2"/>
  <c r="C237" i="2"/>
  <c r="C112" i="2"/>
  <c r="C235" i="2"/>
  <c r="C236" i="2"/>
  <c r="C106" i="2"/>
  <c r="C100" i="2"/>
  <c r="C101" i="2"/>
  <c r="C102" i="2"/>
  <c r="C98" i="2"/>
  <c r="C103" i="2"/>
  <c r="C97" i="2"/>
  <c r="C99" i="2"/>
  <c r="C105" i="2"/>
  <c r="C104" i="2"/>
  <c r="C116" i="2"/>
  <c r="C20" i="2"/>
  <c r="C21" i="2"/>
  <c r="C22" i="2"/>
  <c r="C23" i="2"/>
  <c r="C18" i="2"/>
  <c r="C35" i="2"/>
  <c r="C24" i="2"/>
  <c r="C29" i="2"/>
  <c r="C34" i="2"/>
  <c r="C17" i="2"/>
  <c r="C36" i="2"/>
  <c r="C33" i="2"/>
  <c r="C26" i="2"/>
  <c r="C169" i="2"/>
  <c r="C170" i="2"/>
  <c r="C289" i="2"/>
  <c r="C87" i="2"/>
  <c r="C88" i="2"/>
  <c r="C84" i="2"/>
  <c r="C89" i="2"/>
  <c r="C92" i="2"/>
  <c r="C90" i="2"/>
  <c r="C91" i="2"/>
  <c r="C93" i="2"/>
  <c r="C95" i="2"/>
  <c r="C94" i="2"/>
  <c r="C140" i="2"/>
  <c r="C142" i="2"/>
  <c r="C143" i="2"/>
  <c r="C250" i="2"/>
  <c r="C252" i="2"/>
  <c r="C251" i="2"/>
  <c r="C255" i="2"/>
  <c r="C212" i="2"/>
  <c r="C219" i="2"/>
  <c r="C213" i="2"/>
  <c r="C214" i="2"/>
  <c r="C215" i="2"/>
  <c r="C82" i="2"/>
  <c r="C83" i="2"/>
  <c r="C85" i="2"/>
  <c r="C86" i="2"/>
  <c r="C96" i="2"/>
  <c r="C107" i="2"/>
  <c r="C114" i="2"/>
  <c r="C109" i="2"/>
  <c r="C110" i="2"/>
  <c r="C111" i="2"/>
  <c r="C113" i="2"/>
  <c r="C115" i="2"/>
  <c r="C290" i="2"/>
  <c r="C288" i="2"/>
  <c r="C28" i="2"/>
  <c r="C30" i="2"/>
  <c r="C31" i="2"/>
  <c r="C32" i="2"/>
  <c r="C25" i="2"/>
  <c r="C27" i="2"/>
  <c r="C19" i="2"/>
  <c r="C71" i="2"/>
  <c r="C218" i="2"/>
  <c r="C41" i="2"/>
  <c r="C68" i="2"/>
  <c r="C39" i="2"/>
  <c r="C38" i="2"/>
  <c r="C37" i="2"/>
  <c r="C42" i="2"/>
  <c r="C43" i="2"/>
  <c r="C69" i="2"/>
  <c r="C44" i="2"/>
  <c r="C45" i="2"/>
  <c r="C40" i="2"/>
  <c r="C46" i="2"/>
  <c r="C47" i="2"/>
  <c r="C49" i="2"/>
  <c r="C50" i="2"/>
  <c r="C51" i="2"/>
  <c r="C48" i="2"/>
  <c r="C72" i="2"/>
  <c r="C74" i="2"/>
  <c r="C73" i="2"/>
  <c r="C81" i="2"/>
  <c r="C79" i="2"/>
  <c r="C80" i="2"/>
  <c r="C168" i="2"/>
  <c r="C163" i="2"/>
  <c r="C166" i="2"/>
  <c r="C160" i="2"/>
  <c r="C167" i="2"/>
  <c r="C161" i="2"/>
  <c r="C162" i="2"/>
  <c r="C165" i="2"/>
  <c r="C75" i="2"/>
  <c r="C76" i="2"/>
  <c r="C54" i="2"/>
  <c r="C55" i="2"/>
  <c r="C164" i="2"/>
  <c r="C56" i="2"/>
  <c r="C62" i="2"/>
  <c r="C63" i="2"/>
  <c r="C53" i="2"/>
  <c r="C67" i="2"/>
  <c r="C64" i="2"/>
  <c r="C57" i="2"/>
  <c r="C65" i="2"/>
  <c r="C58" i="2"/>
  <c r="C60" i="2"/>
  <c r="C61" i="2"/>
  <c r="C66" i="2"/>
  <c r="C59" i="2"/>
  <c r="C52" i="2"/>
  <c r="C120" i="2"/>
  <c r="C121" i="2"/>
  <c r="C133" i="2"/>
  <c r="C134" i="2"/>
  <c r="C147" i="2"/>
  <c r="C129" i="2"/>
  <c r="C145" i="2"/>
  <c r="C154" i="2"/>
  <c r="C151" i="2"/>
  <c r="C156" i="2"/>
  <c r="C157" i="2"/>
  <c r="C118" i="2"/>
  <c r="C146" i="2"/>
  <c r="C149" i="2"/>
  <c r="C150" i="2"/>
  <c r="C152" i="2"/>
  <c r="C158" i="2"/>
  <c r="C122" i="2"/>
  <c r="C123" i="2"/>
  <c r="C155" i="2"/>
  <c r="C153" i="2"/>
  <c r="C124" i="2"/>
  <c r="C125" i="2"/>
  <c r="C159" i="2"/>
  <c r="C126" i="2"/>
  <c r="C130" i="2"/>
  <c r="C148" i="2"/>
  <c r="C127" i="2"/>
  <c r="C141" i="2"/>
  <c r="C135" i="2"/>
  <c r="C144" i="2"/>
  <c r="C136" i="2"/>
  <c r="C137" i="2"/>
  <c r="C138" i="2"/>
  <c r="C139" i="2"/>
  <c r="C131" i="2"/>
  <c r="C132" i="2"/>
  <c r="C128" i="2"/>
  <c r="C117" i="2"/>
  <c r="C119" i="2"/>
  <c r="C184" i="2"/>
  <c r="C183" i="2"/>
  <c r="C185" i="2"/>
  <c r="C182" i="2"/>
  <c r="C186" i="2"/>
  <c r="C177" i="2"/>
  <c r="C172" i="2"/>
  <c r="C174" i="2"/>
  <c r="C171" i="2"/>
  <c r="C173" i="2"/>
  <c r="C175" i="2"/>
  <c r="C176" i="2"/>
  <c r="C178" i="2"/>
  <c r="C179" i="2"/>
  <c r="C180" i="2"/>
  <c r="C181" i="2"/>
  <c r="C291" i="2"/>
  <c r="C292" i="2"/>
  <c r="C293" i="2"/>
  <c r="C231" i="2"/>
  <c r="C230" i="2"/>
  <c r="C229" i="2"/>
  <c r="C262" i="2"/>
  <c r="F295" i="2" l="1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C99" i="1"/>
  <c r="D99" i="1" s="1"/>
  <c r="E99" i="1" s="1"/>
  <c r="F99" i="1" s="1"/>
  <c r="G99" i="1" s="1"/>
  <c r="H99" i="1" s="1"/>
  <c r="I99" i="1" s="1"/>
  <c r="J99" i="1" s="1"/>
  <c r="K99" i="1" s="1"/>
  <c r="L99" i="1" s="1"/>
  <c r="M99" i="1" s="1"/>
  <c r="N99" i="1" s="1"/>
  <c r="O99" i="1" s="1"/>
  <c r="P99" i="1" s="1"/>
  <c r="Q99" i="1" s="1"/>
  <c r="R99" i="1" s="1"/>
  <c r="S99" i="1" s="1"/>
  <c r="T99" i="1" s="1"/>
  <c r="U99" i="1" s="1"/>
  <c r="V99" i="1" s="1"/>
  <c r="W99" i="1" s="1"/>
  <c r="X99" i="1" s="1"/>
  <c r="Y99" i="1" s="1"/>
  <c r="Z99" i="1" s="1"/>
  <c r="AA99" i="1" s="1"/>
  <c r="AB99" i="1" s="1"/>
  <c r="AC99" i="1" s="1"/>
  <c r="AD99" i="1" s="1"/>
  <c r="AE99" i="1" s="1"/>
  <c r="AF99" i="1" s="1"/>
  <c r="AG99" i="1" l="1"/>
  <c r="AH99" i="1" s="1"/>
  <c r="AI99" i="1" s="1"/>
  <c r="AJ99" i="1" s="1"/>
  <c r="AK99" i="1" s="1"/>
  <c r="AL99" i="1" s="1"/>
  <c r="AM99" i="1" s="1"/>
  <c r="G354" i="2"/>
  <c r="G355" i="2"/>
  <c r="G356" i="2"/>
  <c r="G357" i="2"/>
  <c r="G358" i="2"/>
  <c r="G359" i="2"/>
  <c r="G360" i="2"/>
  <c r="G361" i="2"/>
  <c r="G362" i="2"/>
  <c r="G363" i="2"/>
  <c r="G364" i="2"/>
  <c r="G347" i="2"/>
  <c r="G348" i="2"/>
  <c r="G349" i="2"/>
  <c r="G350" i="2"/>
  <c r="G351" i="2"/>
  <c r="G352" i="2"/>
  <c r="G353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230" i="2"/>
  <c r="G229" i="2"/>
  <c r="G231" i="2"/>
  <c r="G291" i="2"/>
  <c r="G292" i="2"/>
  <c r="G293" i="2"/>
  <c r="G184" i="2"/>
  <c r="G183" i="2"/>
  <c r="G185" i="2"/>
  <c r="G182" i="2"/>
  <c r="G186" i="2"/>
  <c r="G177" i="2"/>
  <c r="G172" i="2"/>
  <c r="G174" i="2"/>
  <c r="G171" i="2"/>
  <c r="G173" i="2"/>
  <c r="G175" i="2"/>
  <c r="G176" i="2"/>
  <c r="G178" i="2"/>
  <c r="G179" i="2"/>
  <c r="G180" i="2"/>
  <c r="G181" i="2"/>
  <c r="G120" i="2"/>
  <c r="G121" i="2"/>
  <c r="G133" i="2"/>
  <c r="G134" i="2"/>
  <c r="G147" i="2"/>
  <c r="G129" i="2"/>
  <c r="G145" i="2"/>
  <c r="G154" i="2"/>
  <c r="G151" i="2"/>
  <c r="G156" i="2"/>
  <c r="G157" i="2"/>
  <c r="G118" i="2"/>
  <c r="G146" i="2"/>
  <c r="G149" i="2"/>
  <c r="G150" i="2"/>
  <c r="G152" i="2"/>
  <c r="G158" i="2"/>
  <c r="G122" i="2"/>
  <c r="G123" i="2"/>
  <c r="G155" i="2"/>
  <c r="G153" i="2"/>
  <c r="G124" i="2"/>
  <c r="G125" i="2"/>
  <c r="G159" i="2"/>
  <c r="G126" i="2"/>
  <c r="G130" i="2"/>
  <c r="G148" i="2"/>
  <c r="G127" i="2"/>
  <c r="G141" i="2"/>
  <c r="G135" i="2"/>
  <c r="G144" i="2"/>
  <c r="G136" i="2"/>
  <c r="G137" i="2"/>
  <c r="G138" i="2"/>
  <c r="G139" i="2"/>
  <c r="G131" i="2"/>
  <c r="G132" i="2"/>
  <c r="G128" i="2"/>
  <c r="G117" i="2"/>
  <c r="G119" i="2"/>
  <c r="G164" i="2"/>
  <c r="G56" i="2"/>
  <c r="G62" i="2"/>
  <c r="G63" i="2"/>
  <c r="G53" i="2"/>
  <c r="G67" i="2"/>
  <c r="G64" i="2"/>
  <c r="G57" i="2"/>
  <c r="G65" i="2"/>
  <c r="G58" i="2"/>
  <c r="G60" i="2"/>
  <c r="G61" i="2"/>
  <c r="G66" i="2"/>
  <c r="G59" i="2"/>
  <c r="G52" i="2"/>
  <c r="G55" i="2"/>
  <c r="G54" i="2"/>
  <c r="G75" i="2"/>
  <c r="G76" i="2"/>
  <c r="G168" i="2"/>
  <c r="G163" i="2"/>
  <c r="G166" i="2"/>
  <c r="G160" i="2"/>
  <c r="G167" i="2"/>
  <c r="G161" i="2"/>
  <c r="G162" i="2"/>
  <c r="G165" i="2"/>
  <c r="G81" i="2"/>
  <c r="G79" i="2"/>
  <c r="G80" i="2"/>
  <c r="G72" i="2"/>
  <c r="G74" i="2"/>
  <c r="G73" i="2"/>
  <c r="G46" i="2"/>
  <c r="G47" i="2"/>
  <c r="G49" i="2"/>
  <c r="G50" i="2"/>
  <c r="G51" i="2"/>
  <c r="G48" i="2"/>
  <c r="G41" i="2"/>
  <c r="G68" i="2"/>
  <c r="G39" i="2"/>
  <c r="G38" i="2"/>
  <c r="G37" i="2"/>
  <c r="G42" i="2"/>
  <c r="G43" i="2"/>
  <c r="G69" i="2"/>
  <c r="G44" i="2"/>
  <c r="G45" i="2"/>
  <c r="G40" i="2"/>
  <c r="G218" i="2"/>
  <c r="G71" i="2"/>
  <c r="G28" i="2"/>
  <c r="G30" i="2"/>
  <c r="G31" i="2"/>
  <c r="G32" i="2"/>
  <c r="G25" i="2"/>
  <c r="G27" i="2"/>
  <c r="G19" i="2"/>
  <c r="G290" i="2"/>
  <c r="G288" i="2"/>
  <c r="G96" i="2"/>
  <c r="G107" i="2"/>
  <c r="G114" i="2"/>
  <c r="G109" i="2"/>
  <c r="G110" i="2"/>
  <c r="G111" i="2"/>
  <c r="G113" i="2"/>
  <c r="G115" i="2"/>
  <c r="G82" i="2"/>
  <c r="G83" i="2"/>
  <c r="G85" i="2"/>
  <c r="G86" i="2"/>
  <c r="G215" i="2"/>
  <c r="G212" i="2"/>
  <c r="G219" i="2"/>
  <c r="G213" i="2"/>
  <c r="G214" i="2"/>
  <c r="G251" i="2"/>
  <c r="G255" i="2"/>
  <c r="G250" i="2"/>
  <c r="G252" i="2"/>
  <c r="G140" i="2"/>
  <c r="G142" i="2"/>
  <c r="G143" i="2"/>
  <c r="G94" i="2"/>
  <c r="G93" i="2"/>
  <c r="G95" i="2"/>
  <c r="G90" i="2"/>
  <c r="G91" i="2"/>
  <c r="G89" i="2"/>
  <c r="G92" i="2"/>
  <c r="G84" i="2"/>
  <c r="G87" i="2"/>
  <c r="G88" i="2"/>
  <c r="G289" i="2"/>
  <c r="G169" i="2"/>
  <c r="G170" i="2"/>
  <c r="G29" i="2"/>
  <c r="G34" i="2"/>
  <c r="G17" i="2"/>
  <c r="G36" i="2"/>
  <c r="G33" i="2"/>
  <c r="G26" i="2"/>
  <c r="G23" i="2"/>
  <c r="G18" i="2"/>
  <c r="G35" i="2"/>
  <c r="G24" i="2"/>
  <c r="G20" i="2"/>
  <c r="G21" i="2"/>
  <c r="G22" i="2"/>
  <c r="G105" i="2"/>
  <c r="G104" i="2"/>
  <c r="G116" i="2"/>
  <c r="G106" i="2"/>
  <c r="G100" i="2"/>
  <c r="G101" i="2"/>
  <c r="G102" i="2"/>
  <c r="G98" i="2"/>
  <c r="G103" i="2"/>
  <c r="G97" i="2"/>
  <c r="G99" i="2"/>
  <c r="G221" i="2"/>
  <c r="G108" i="2"/>
  <c r="G234" i="2"/>
  <c r="G237" i="2"/>
  <c r="G112" i="2"/>
  <c r="G235" i="2"/>
  <c r="G236" i="2"/>
  <c r="G217" i="2"/>
  <c r="G220" i="2"/>
  <c r="G222" i="2"/>
  <c r="G223" i="2"/>
  <c r="G224" i="2"/>
  <c r="G232" i="2"/>
  <c r="G233" i="2"/>
  <c r="G216" i="2"/>
  <c r="G225" i="2"/>
  <c r="G227" i="2"/>
  <c r="G226" i="2"/>
  <c r="G228" i="2"/>
  <c r="G187" i="2"/>
  <c r="G188" i="2"/>
  <c r="G189" i="2"/>
  <c r="G190" i="2"/>
  <c r="G208" i="2"/>
  <c r="G210" i="2"/>
  <c r="G207" i="2"/>
  <c r="G209" i="2"/>
  <c r="G211" i="2"/>
  <c r="G77" i="2"/>
  <c r="G78" i="2"/>
  <c r="G193" i="2"/>
  <c r="G196" i="2"/>
  <c r="G200" i="2"/>
  <c r="G201" i="2"/>
  <c r="G202" i="2"/>
  <c r="G203" i="2"/>
  <c r="G204" i="2"/>
  <c r="G70" i="2"/>
  <c r="G199" i="2"/>
  <c r="G194" i="2"/>
  <c r="G195" i="2"/>
  <c r="G197" i="2"/>
  <c r="G198" i="2"/>
  <c r="G205" i="2"/>
  <c r="G206" i="2"/>
  <c r="G13" i="2"/>
  <c r="G11" i="2"/>
  <c r="G7" i="2"/>
  <c r="G8" i="2"/>
  <c r="G12" i="2"/>
  <c r="G10" i="2"/>
  <c r="G9" i="2"/>
  <c r="G6" i="2"/>
  <c r="G14" i="2"/>
  <c r="G15" i="2"/>
  <c r="G16" i="2"/>
  <c r="G254" i="2"/>
  <c r="G259" i="2"/>
  <c r="G249" i="2"/>
  <c r="G294" i="2"/>
  <c r="G275" i="2"/>
  <c r="G268" i="2"/>
  <c r="G248" i="2"/>
  <c r="G274" i="2"/>
  <c r="G279" i="2"/>
  <c r="G281" i="2"/>
  <c r="G278" i="2"/>
  <c r="G283" i="2"/>
  <c r="G282" i="2"/>
  <c r="AN99" i="1" l="1"/>
  <c r="AO99" i="1" s="1"/>
  <c r="AP99" i="1" s="1"/>
  <c r="AQ99" i="1" s="1"/>
  <c r="AR99" i="1" s="1"/>
  <c r="AS99" i="1" s="1"/>
  <c r="AT99" i="1" s="1"/>
  <c r="AU99" i="1" s="1"/>
  <c r="AV99" i="1" s="1"/>
  <c r="AW99" i="1" s="1"/>
  <c r="AX99" i="1" s="1"/>
  <c r="AY99" i="1" s="1"/>
  <c r="AZ99" i="1" s="1"/>
  <c r="BA99" i="1" s="1"/>
  <c r="BB99" i="1" s="1"/>
  <c r="BC99" i="1" s="1"/>
  <c r="G257" i="2"/>
  <c r="G256" i="2"/>
  <c r="G258" i="2"/>
  <c r="G260" i="2"/>
  <c r="G263" i="2"/>
  <c r="G265" i="2"/>
  <c r="G267" i="2"/>
  <c r="G269" i="2"/>
  <c r="G270" i="2"/>
  <c r="G271" i="2"/>
  <c r="G272" i="2"/>
  <c r="G242" i="2"/>
  <c r="G243" i="2"/>
  <c r="G244" i="2"/>
  <c r="G245" i="2"/>
  <c r="G246" i="2"/>
  <c r="G192" i="2"/>
  <c r="G191" i="2"/>
  <c r="G238" i="2"/>
  <c r="G239" i="2"/>
  <c r="G240" i="2"/>
  <c r="G241" i="2"/>
  <c r="G284" i="2"/>
  <c r="G253" i="2"/>
  <c r="G261" i="2"/>
  <c r="G264" i="2"/>
  <c r="G266" i="2"/>
  <c r="G247" i="2"/>
  <c r="G285" i="2"/>
  <c r="G286" i="2"/>
  <c r="G287" i="2"/>
  <c r="G276" i="2"/>
  <c r="G277" i="2"/>
  <c r="G273" i="2"/>
  <c r="G280" i="2"/>
</calcChain>
</file>

<file path=xl/sharedStrings.xml><?xml version="1.0" encoding="utf-8"?>
<sst xmlns="http://schemas.openxmlformats.org/spreadsheetml/2006/main" count="1212" uniqueCount="678">
  <si>
    <t>status1</t>
  </si>
  <si>
    <t>status2</t>
  </si>
  <si>
    <t>status3</t>
  </si>
  <si>
    <t>status4</t>
  </si>
  <si>
    <t>status5</t>
  </si>
  <si>
    <t>status6</t>
  </si>
  <si>
    <t>status7</t>
  </si>
  <si>
    <t>status8</t>
  </si>
  <si>
    <t>status9</t>
  </si>
  <si>
    <t>Cell Fill Color</t>
  </si>
  <si>
    <t>Cell Border Color</t>
  </si>
  <si>
    <t>Skyline chart</t>
  </si>
  <si>
    <t>Font Color</t>
  </si>
  <si>
    <t>Setting:</t>
  </si>
  <si>
    <t>Steps</t>
  </si>
  <si>
    <t>Status
(for chart color)</t>
  </si>
  <si>
    <t>Completed
(OK/ -)</t>
  </si>
  <si>
    <t>Font size</t>
  </si>
  <si>
    <t>MC SKYLINE</t>
  </si>
  <si>
    <t>Remark</t>
  </si>
  <si>
    <t>Sub-System</t>
  </si>
  <si>
    <t>Sub-System Description</t>
  </si>
  <si>
    <t>21-2400-9360-01-CargoOilWashingHeaderandDistribution</t>
  </si>
  <si>
    <t>21-2400-9360-01</t>
  </si>
  <si>
    <t>21-6700-6703-01-UPSsubdistributionHullLevel3</t>
  </si>
  <si>
    <t>21-2400-9360-02-Condensateimport/loadingheader</t>
  </si>
  <si>
    <t>21-2400-9360-02</t>
  </si>
  <si>
    <t>21-6600-6674-01-690VSwitchboard21-ESB-667401</t>
  </si>
  <si>
    <t>21-2400-9360-03-Condensatetransferheader</t>
  </si>
  <si>
    <t>21-2400-9360-03</t>
  </si>
  <si>
    <t>21-6600-6675-01-HullNormal&amp;Essential400VPowerboardESB-667601</t>
  </si>
  <si>
    <t>21-2400-9360-04-Condensateexport/offloadingheader</t>
  </si>
  <si>
    <t>21-2400-9360-04</t>
  </si>
  <si>
    <t>21-6600-6676-02-400VSwitchboardNorm/EsslightELP-667631</t>
  </si>
  <si>
    <t>21-2400-9361-01-COW1tank&amp;pumps(inclwashingmachine)</t>
  </si>
  <si>
    <t>21-2400-9361-01</t>
  </si>
  <si>
    <t>21-6600-6675-07-HullSubdist/Auxpanel02(MSL3LVroom)21-ELP-667635</t>
  </si>
  <si>
    <t>21-2400-9362-01-COW2tank&amp;pumps(inclwashingmachine)</t>
  </si>
  <si>
    <t>21-2400-9362-01</t>
  </si>
  <si>
    <t>21-6800-6844-13-FireZone6846-2-Level3-LVRoom</t>
  </si>
  <si>
    <t>21-2400-9363-01-COW3tank&amp;pumps(inclwashingmachine)</t>
  </si>
  <si>
    <t>21-2400-9363-01</t>
  </si>
  <si>
    <t>21-2400-9364-01-COW4tank&amp;pumps(inclwashingmachine)</t>
  </si>
  <si>
    <t>21-2400-9364-01</t>
  </si>
  <si>
    <t>21-6600-6676-01-400VSwitchboardNorm/EsslightELP-667630(Swbsin1stlevel&amp;distribution1st&amp;2ndlevels)</t>
  </si>
  <si>
    <t>21-2400-9365-01-COE1tank&amp;pumps(inclwashingmachine)</t>
  </si>
  <si>
    <t>21-2400-9365-01</t>
  </si>
  <si>
    <t>21-2400-9366-01-COE2tank&amp;pumps(inclwashingmachine)</t>
  </si>
  <si>
    <t>21-2400-9366-01</t>
  </si>
  <si>
    <t>21-2400-9367-01-COE3tank&amp;pumps(inclwashingmachine)</t>
  </si>
  <si>
    <t>21-2400-9367-01</t>
  </si>
  <si>
    <t>21-2400-9368-01-COE4tank&amp;pumps(inclwashingmachine)</t>
  </si>
  <si>
    <t>21-2400-9368-01</t>
  </si>
  <si>
    <t>21-6600-6624-05-400VSwitchboardHullEmergencylightingpanel&amp;circuits21-ELP-662401(Swbsin1stlevel&amp;distribution1st&amp;2nd&amp;3rdlevels)</t>
  </si>
  <si>
    <t>21-6800-6842-02-FireZone6842-1-CargotankTop(CondensateTank1&amp;2)&amp;ClosedDrainfacilities</t>
  </si>
  <si>
    <t>21-6800-6842-02</t>
  </si>
  <si>
    <t>21-6600-6624-06-400VSwitchboardHullEmergencylightingpanel&amp;circuits21-ELP-662402(Swbsin1stlevel&amp;distribution1st&amp;2nd&amp;3rdlevels)</t>
  </si>
  <si>
    <t>21-6800-6842-04</t>
  </si>
  <si>
    <t>21-6600-6624-07-400VSwitchboardHullEmergencylightingpanel&amp;circuits21-ELP-662403(Swbsin1stlevel&amp;distribution1st&amp;2nd&amp;3rdlevels)</t>
  </si>
  <si>
    <t>21-6800-6842-05-FireZone6842-4-CargotankTop(CondensateTank5&amp;6)</t>
  </si>
  <si>
    <t>21-6800-6842-05</t>
  </si>
  <si>
    <t>21-6600-6675-08-HullWorkshoppower(L1MS)21-ELP-667636</t>
  </si>
  <si>
    <t>21-6800-6842-06-FireZone6842-5-CargotankTop(CondensateTank7&amp;8)</t>
  </si>
  <si>
    <t>21-6800-6842-06</t>
  </si>
  <si>
    <t>21-8130-8131-01-FuelGasblanketingdistributioninHULL</t>
  </si>
  <si>
    <t>21-8130-8131-01</t>
  </si>
  <si>
    <t>21-6030-6036-01-1stlevelHERPDBs</t>
  </si>
  <si>
    <t>21-6030-6032-03-ICSSinterfaceservers,workstations&amp;networkswitchesHERLevel1</t>
  </si>
  <si>
    <t>21-9330-9330-01/02-MainBallasttanksWBE1to5,APE1,APW1&amp;WBW1to5/Mainballastringmain</t>
  </si>
  <si>
    <t>21-9330-9330-01</t>
  </si>
  <si>
    <t>21-6010-6011-01-SISmarshalling&amp;systemcabinets-MachinerySpace(HER)Level1</t>
  </si>
  <si>
    <t>21-9330-9330-02</t>
  </si>
  <si>
    <t>21-9330-9330-03-Ballastpump21-P-935001A</t>
  </si>
  <si>
    <t>21-9330-9330-03</t>
  </si>
  <si>
    <t>21-6020-6021-01-PASmarshalling&amp;systemcabinets-MachinerySpace(HER)Level1</t>
  </si>
  <si>
    <t>21-9330-9330-04-Ballastpump21-P-935001B</t>
  </si>
  <si>
    <t>21-9330-9330-04</t>
  </si>
  <si>
    <t>21-6070-6071-01-FGSmarshalling&amp;systemcabinets-MachinerySpace(HER)Level1</t>
  </si>
  <si>
    <t>21-9330-9330-05-Ballastpump21-P-935001C</t>
  </si>
  <si>
    <t>21-9330-9330-05</t>
  </si>
  <si>
    <t>21-6070-6072-01-Fireadressablepanels-MachinerySpace(HER)Level1</t>
  </si>
  <si>
    <t>21-9330-9330-06-Ballastpump21-P-935001D</t>
  </si>
  <si>
    <t>21-9330-9330-06</t>
  </si>
  <si>
    <t>21-6800-6844-04-FireZone6844-3-Level1-InstrumentationArea</t>
  </si>
  <si>
    <t>21-6070-6073-01-HSSD-MachinerySpace(HER)Level1</t>
  </si>
  <si>
    <t>21-2400-2450-01-CFW1Off-speccondensatetank&amp;pumps(inclwashingmachine)</t>
  </si>
  <si>
    <t>21-2400-2450-01</t>
  </si>
  <si>
    <t>21-6070-6073-02-HSSD-MachinerySpaceLevel3electricalroom</t>
  </si>
  <si>
    <t>21-6030-6037-01-TankGaugingSystemcabinets&amp;workstations</t>
  </si>
  <si>
    <t>21-2500-2510-02-MEGtransferheader</t>
  </si>
  <si>
    <t>21-2500-2510-02</t>
  </si>
  <si>
    <t>21-2500-2512-01-MSE1saltyrichMEGstorage&amp;pumps</t>
  </si>
  <si>
    <t>21-2500-2512-01</t>
  </si>
  <si>
    <t>21-9970-9971-01-HullHVACUCPs,EDBs,VSDs</t>
  </si>
  <si>
    <t>21-2500-2513-01-MSW2SaltyrichMEGstorage&amp;pumps</t>
  </si>
  <si>
    <t>21-2500-2513-01</t>
  </si>
  <si>
    <t>21-9970-9971-02-HullMachinerySpacesupplyFans,ducting&amp;dampers</t>
  </si>
  <si>
    <t>21-2500-2514-01-MSE2SaltyrichMEGstorage&amp;pumps</t>
  </si>
  <si>
    <t>21-2500-2514-01</t>
  </si>
  <si>
    <t>21-9970-9971-03-HullMachinerySpaceExhaustFans,ducting&amp;dampers</t>
  </si>
  <si>
    <t>21-6800-6842-03-FireZone6842-2-CargotankTop(SaltyRichMEGTanks3&amp;4)</t>
  </si>
  <si>
    <t>21-6800-6842-03</t>
  </si>
  <si>
    <t>21-9970-9971-06-HullChilledwatersystem&amp;UCP</t>
  </si>
  <si>
    <t>21-9970-9971-07-HullChillerexhaustfans,ducting&amp;dampers</t>
  </si>
  <si>
    <t>21-4000-4030-01-ProducedwaterOff-SpecStoragetank&amp;pumps</t>
  </si>
  <si>
    <t>21-4000-4030-01</t>
  </si>
  <si>
    <t>21-9970-9970-01-Hullemergencypressurisationfans</t>
  </si>
  <si>
    <t>21-4000-4030-02-ProducedwaterOff-SpecheadertoStoragetank</t>
  </si>
  <si>
    <t>21-4000-4030-02</t>
  </si>
  <si>
    <t>21-6800-6844-01-FireZone6844-0-Level1-HVACArea</t>
  </si>
  <si>
    <t>21-4000-4030-03-ProducedwaterOff-Specheadertoproducedwatertreatment/Bunkeringstation</t>
  </si>
  <si>
    <t>21-4000-4030-03</t>
  </si>
  <si>
    <t>21-6800-6844-03-FireZone6844-2-Level1-AHUArea</t>
  </si>
  <si>
    <t>21-9370-9370-01-Slopstank21-T-937001&amp;pumps21-P-937001/003</t>
  </si>
  <si>
    <t>21-9370-9370-01</t>
  </si>
  <si>
    <t>21-9370-9371-01-Slopstank21-T-937002&amp;pumps21-P-937002/004</t>
  </si>
  <si>
    <t>21-9370-9371-01</t>
  </si>
  <si>
    <t>21-6600-6670-02-KeyserviceGeneratorG-667002</t>
  </si>
  <si>
    <t>21-9370-9372-03-DailyBilgewaterheadertoslopstanks</t>
  </si>
  <si>
    <t>21-9370-9372-03</t>
  </si>
  <si>
    <t>21-9970-9971-04-KSGeneratorroomsupplyfans,ducting&amp;dampers</t>
  </si>
  <si>
    <t>21-9370-9372-04</t>
  </si>
  <si>
    <t>21-9970-9971-05-KSGeneratorroomexhaustfans,ducting&amp;dampers</t>
  </si>
  <si>
    <t>21-9370-9372-06-Slopstanksinterconnectingheader</t>
  </si>
  <si>
    <t>21-9370-9372-06</t>
  </si>
  <si>
    <t>21-6800-6844-20-FireZone6848-4/5-HVACAirintakeforkeyservicegeneratorsroom</t>
  </si>
  <si>
    <t>21-9370-9372-07-Slopswatertoexportlineflushing</t>
  </si>
  <si>
    <t>21-9370-9372-07</t>
  </si>
  <si>
    <t>21-6800-6844-09-FireZone6845-2-Level2-KeyServicePowerGenerationUnitArea</t>
  </si>
  <si>
    <t>21-9370-9372-08-COWhotseawaterfilter21-F-937001</t>
  </si>
  <si>
    <t>21-9370-9372-08</t>
  </si>
  <si>
    <t>21-6600-6673-01-6.6kVSwitchboard21-ESB-667301</t>
  </si>
  <si>
    <t>21-9370-9372-09</t>
  </si>
  <si>
    <t>21-6800-6844-12-FireZone6846-1-Level3-HVRoom</t>
  </si>
  <si>
    <t>21-9370-9372-10-Treatedslopsheadertooverboard</t>
  </si>
  <si>
    <t>21-9370-9372-10</t>
  </si>
  <si>
    <t>21-6800-6844-14-FireZone6846-3-Level3-TransformerRoom</t>
  </si>
  <si>
    <t>21-2600-2630-01-MethanolStorageandPumps</t>
  </si>
  <si>
    <t>21-2600-2630-01</t>
  </si>
  <si>
    <t>21-8100-8120-01-HullAircompressors</t>
  </si>
  <si>
    <t>21-6800-6844-07-FireZone6845-0-Level2-InstrumentAirArea</t>
  </si>
  <si>
    <t>21-2500-2511-01-MRW1RichMEGstorage&amp;pumps</t>
  </si>
  <si>
    <t>21-2500-2511-01</t>
  </si>
  <si>
    <t>21-6800-6842-01</t>
  </si>
  <si>
    <t>21-9330-9333-01-HPUscargo&amp;ballastpumps</t>
  </si>
  <si>
    <t>21-6800-6844-08-FireZone6845-1-Level2-HPUCargoBallastPumpArea</t>
  </si>
  <si>
    <t>21-8300-8330-02-WaxInhibitorstorage&amp;pumps</t>
  </si>
  <si>
    <t>21-8300-8330-02</t>
  </si>
  <si>
    <t xml:space="preserve"> </t>
  </si>
  <si>
    <t>21-9330-9334-01-HPUsmarinevalves</t>
  </si>
  <si>
    <t>21-6300-6320-01-Lifeboats</t>
  </si>
  <si>
    <t>21-6300-6320-01</t>
  </si>
  <si>
    <t>21-2500-2551-01-MLW1LeanMEGstorage&amp;pumps</t>
  </si>
  <si>
    <t>21-2500-2551-01</t>
  </si>
  <si>
    <t>21-8100-8120-03HullAirreceiver</t>
  </si>
  <si>
    <t>21-2500-2552-01-MLE1LeanMEGstorage&amp;pumps</t>
  </si>
  <si>
    <t>21-2500-2552-01</t>
  </si>
  <si>
    <t>21-6800-6842-07-FireZone6842-6-CargotankTop(LeanMEGStorageTanks)</t>
  </si>
  <si>
    <t>21-6800-6842-07</t>
  </si>
  <si>
    <t>21-8100-8121-01-Hull instrument air distribution</t>
  </si>
  <si>
    <t>21-6070-6073-02</t>
  </si>
  <si>
    <t>21-8020-8027-02-HULLserviceseawatertoElectrochlorinationpackage</t>
  </si>
  <si>
    <t>21-6600-6673-01</t>
  </si>
  <si>
    <t>21-8000-8014-04-FreshServicewaterdistributiontoWatermistsystem21-SWM-613001</t>
  </si>
  <si>
    <t>21-6600-6674-01</t>
  </si>
  <si>
    <t>21-6600-6675-01</t>
  </si>
  <si>
    <t>21-6100-6121-01-HullWatermistsystem</t>
  </si>
  <si>
    <t>21-6600-6675-06-SUB DISTRIBUTION AUXILIARY PANEL 02 (ROOM: M303) 21-EDB-667635</t>
  </si>
  <si>
    <t>21-6600-6675-06</t>
  </si>
  <si>
    <t>21-6600-6675-07</t>
  </si>
  <si>
    <t>21-6600-6676-02</t>
  </si>
  <si>
    <t>21-6100-6140-01-Foampackage</t>
  </si>
  <si>
    <t>21-6700-6703-01</t>
  </si>
  <si>
    <t>21-6800-6844-12</t>
  </si>
  <si>
    <t>21-8000-8010-02-Chlorinationpackage</t>
  </si>
  <si>
    <t>21-6800-6844-13</t>
  </si>
  <si>
    <t>21-6800-6844-14</t>
  </si>
  <si>
    <t>21-8000-8012-01-Rehardener&amp;UVSterilizer</t>
  </si>
  <si>
    <t>21-6800-6844-01</t>
  </si>
  <si>
    <t>21-8000-8011-01-PotableWaterTanks&amp;PWPumps</t>
  </si>
  <si>
    <t>21-6800-6844-03</t>
  </si>
  <si>
    <t>21-6800-6844-17-FireZone6848-0/1-MachinerySpaceStaircases</t>
  </si>
  <si>
    <t>21-6800-6844-17</t>
  </si>
  <si>
    <t>21-6800-6844-19-FireZone6848-3-HVACAirintakeforMachinerySpaces</t>
  </si>
  <si>
    <t>21-6800-6844-19</t>
  </si>
  <si>
    <t>21-8000-8013-01-HotWatercalorifiers</t>
  </si>
  <si>
    <t>21-6800-6844-21-FireZone6848-6-HVACAirintakeforDieselroom</t>
  </si>
  <si>
    <t>21-6800-6844-21</t>
  </si>
  <si>
    <t>21-8000-8013-02-Hotwaterdistributionandrecirculationpumps(Hullpart)</t>
  </si>
  <si>
    <t>21-6800-6844-22-FireZone6848-7-HVACAirintakeforAHU</t>
  </si>
  <si>
    <t>21-6800-6844-22</t>
  </si>
  <si>
    <t>21-6800-6844-23-FireZone6848-8-HVACAirintakeforEmergencypressurization</t>
  </si>
  <si>
    <t>21-6800-6844-23</t>
  </si>
  <si>
    <t>21-8000-8014-01-FreshServiceWatertank&amp;pumps</t>
  </si>
  <si>
    <t>21-8100-8121-01</t>
  </si>
  <si>
    <t>21-9970-9970-01</t>
  </si>
  <si>
    <t>21-9970-9971-02</t>
  </si>
  <si>
    <t>21-8020-8027-01-HULLserviceseawaterboosterpumps-21-P-802008A/B</t>
  </si>
  <si>
    <t>21-9970-9971-03</t>
  </si>
  <si>
    <t>21-8020-8027-03-HULLserviceseawatertopotablewaterpackage</t>
  </si>
  <si>
    <t>21-9970-9971-06</t>
  </si>
  <si>
    <t>21-9970-9971-07</t>
  </si>
  <si>
    <t>21-9350-9350-01-MSBallasttanksWBW6,7/WBE6,7/FPE1/FPW1</t>
  </si>
  <si>
    <t>21-9970-9971-08</t>
  </si>
  <si>
    <t>21-9970-9971-09-HULL Machinery Space AHU Recirculation Air</t>
  </si>
  <si>
    <t>21-9970-9971-09</t>
  </si>
  <si>
    <t>21-9350-9350-02-MSballastringmain</t>
  </si>
  <si>
    <t>21-6600-6670-01</t>
  </si>
  <si>
    <t>21-9350-9350-04-MSBallastpump21-P-935002A</t>
  </si>
  <si>
    <t>21-6600-6670-02</t>
  </si>
  <si>
    <t>21-9350-9350-05-MSBallastpump21-P-935002B</t>
  </si>
  <si>
    <t>21-6800-6844-09</t>
  </si>
  <si>
    <t>21-6800-6844-20</t>
  </si>
  <si>
    <t>21-8020-8020-03-MarineSWmaindistributionheader</t>
  </si>
  <si>
    <t>21-9970-9971-04</t>
  </si>
  <si>
    <t>21-9970-9971-05</t>
  </si>
  <si>
    <t>21-8020-8029-01-KSGcoolingseawaterpumps21-P-802009A/B&amp;pipingdistribution</t>
  </si>
  <si>
    <t>21-6800-6844-07</t>
  </si>
  <si>
    <t>21-8020-8024-01-HULLseawatercoolingpumps-21-P-802004A/B</t>
  </si>
  <si>
    <t>21-8100-8120-01</t>
  </si>
  <si>
    <t>21-8020-8024-02-HULLseawatercoolingheader&amp;coolingwaterexchangers21-H-805001A/B</t>
  </si>
  <si>
    <t>21-8100-8120-03</t>
  </si>
  <si>
    <t>21-8020-8025-01-HULLserviceseawaterpumps-21-P-802005A/B</t>
  </si>
  <si>
    <t>21-8100-8120-02</t>
  </si>
  <si>
    <t>21-8020-8026-01-HULLserviceseawatertoHVACcooling</t>
  </si>
  <si>
    <t>21-6800-6830-02-FireZone6830-02-HullLevel-HPURoom</t>
  </si>
  <si>
    <t>21-6800-6830-02</t>
  </si>
  <si>
    <t>21-6800-6844-08</t>
  </si>
  <si>
    <t>21-9330-9333-01</t>
  </si>
  <si>
    <t>21-9970-9971-10-HullDieselOilPumpRoomSupplyFans,ducting&amp;dampers</t>
  </si>
  <si>
    <t>21-9970-9971-12</t>
  </si>
  <si>
    <t>21-9970-9971-11-HullDieselOilPumpRoomExhaustFans,ducting&amp;dampers</t>
  </si>
  <si>
    <t>21-8000-8010-02</t>
  </si>
  <si>
    <t>21-8060-8061-01-DieselBunkerheader</t>
  </si>
  <si>
    <t>21-8000-8013-01</t>
  </si>
  <si>
    <t>21-8060-8061-03-Dieselsupply&amp;return(spillback)headerstoservicetanks21-T-806003/4/</t>
  </si>
  <si>
    <t>21-8000-8013-02</t>
  </si>
  <si>
    <t>21-6800-6844-15-FireZone6847-0-BottomDeck-DieselOilArea</t>
  </si>
  <si>
    <t>21-8000-8010-01-Potablewatermaker</t>
  </si>
  <si>
    <t>21-8000-8010-01</t>
  </si>
  <si>
    <t>21-8060-8062-02-Purifierpackage</t>
  </si>
  <si>
    <t>21-8000-8011-01</t>
  </si>
  <si>
    <t>21-8000-8012-02-Maindistribution&amp;potablewatercooler</t>
  </si>
  <si>
    <t>21-8000-8012-02</t>
  </si>
  <si>
    <t>Topsides Fire water Ring Main, hydrant and Jockey pumps</t>
  </si>
  <si>
    <t>21-8000-8012-03-ColdpotablewaterdistributiontoHull</t>
  </si>
  <si>
    <t>21-8000-8012-03</t>
  </si>
  <si>
    <t>Hull Fire water Ring Main &amp; hydrants</t>
  </si>
  <si>
    <t>21-8000-8012-04-ColdpotablewaterdistributiontoLQ(Hullpart)</t>
  </si>
  <si>
    <t>21-8000-8012-04</t>
  </si>
  <si>
    <t>21-8000-8011-02-Freshwaterbunkeringheader</t>
  </si>
  <si>
    <t>21-8000-8011-02</t>
  </si>
  <si>
    <t>21-8000-8014-01</t>
  </si>
  <si>
    <t>21-8000-8014-02-FreshServicewaterdistributiontoHull</t>
  </si>
  <si>
    <t>21-8000-8014-02</t>
  </si>
  <si>
    <t>21-8000-8014-03-FreshServicewaterdistributiontoTopsides(Hullpart)</t>
  </si>
  <si>
    <t>21-8000-8014-03</t>
  </si>
  <si>
    <t>21-8050-8051-01-MarineCoolingmediumpumps21-P805002A/B</t>
  </si>
  <si>
    <t>21-8000-8014-04</t>
  </si>
  <si>
    <t>21-8050-8051-02-MarineCoolingMediumexpansiontank</t>
  </si>
  <si>
    <t>21-8000-8014-05-FreshServicewaterdistributiontoLQ(Hullpart)</t>
  </si>
  <si>
    <t>21-8000-8014-05</t>
  </si>
  <si>
    <t>21-8050-8051-03-MarineCoolingMediumdistribution</t>
  </si>
  <si>
    <t>21-8000-8014-05-FreshServicewaterdistributiontoLQ(LQpart)</t>
  </si>
  <si>
    <t>21-9380-9380-01-Dailybilgetank21-T-938001&amp;pumps21-P-938001A/B</t>
  </si>
  <si>
    <t>21-6800-6844-16-FireZone6847-1-BottomDeck-Pumpareas</t>
  </si>
  <si>
    <t>21-6800-6844-16</t>
  </si>
  <si>
    <t>21-9380-9380-06-DailyBilgeforCFC8&amp;pump21-P-938003</t>
  </si>
  <si>
    <t>21-8060-8061-01</t>
  </si>
  <si>
    <t>21-9380-9380-07-DailyBilgeforCFC5&amp;CFC6&amp;pump21-P-938004</t>
  </si>
  <si>
    <t>21-8060-8061-02</t>
  </si>
  <si>
    <t>21-9380-9380-08-DailyBilgeforCFC7&amp;pump21-P-938005</t>
  </si>
  <si>
    <t>21-8060-8061-03</t>
  </si>
  <si>
    <t>21-9380-9380-09-DailyBilgeforCFC1&amp;pump21-P-938006</t>
  </si>
  <si>
    <t>21-8060-8062-01</t>
  </si>
  <si>
    <t>21-9350-9350-03-Emergencybilgesuctionheader</t>
  </si>
  <si>
    <t>21-9380-9380-05-Diesel oil from diesel storage tanks</t>
  </si>
  <si>
    <t>21-9380-9380-05</t>
  </si>
  <si>
    <t>21-9970-9971-10</t>
  </si>
  <si>
    <t>21-9380-9380-02to05-Bilgewells/Headers</t>
  </si>
  <si>
    <t>21-9970-9971-11</t>
  </si>
  <si>
    <t>21-9380-9381-01/02/21-9380-9382-01-Mainbilgepumps21-P-938002A/B&amp;headers(incloverboardandEmbilge)</t>
  </si>
  <si>
    <t>21-6800-6844-15</t>
  </si>
  <si>
    <t>21-8020-8021-01-IGGscrubbercoolingseawaterpumps-21-P802003A/B</t>
  </si>
  <si>
    <t>21-8060-8062-02</t>
  </si>
  <si>
    <t>21-8020-8021-02-IGGscrubbercoolingseawaterdistribution</t>
  </si>
  <si>
    <t>21-9380-9380-04-Sludge from diesel purfier</t>
  </si>
  <si>
    <t>21-9380-9380-04</t>
  </si>
  <si>
    <t>21-6010-6011-01</t>
  </si>
  <si>
    <t>21-8020-8023-01-IGGdecksealseawaterpumps-21-P802002A/B</t>
  </si>
  <si>
    <t>21-6010-6011-05-SIS Multi cores/FO cables and JBs to marshalling / system cabinets</t>
  </si>
  <si>
    <t>21-6010-6011-05</t>
  </si>
  <si>
    <t>21-8020-8023-02-IGGdecksealseawaterdistribution</t>
  </si>
  <si>
    <t>21-6020-6021-01</t>
  </si>
  <si>
    <t>21-6030-6032-03</t>
  </si>
  <si>
    <t>21-6030-6036-01</t>
  </si>
  <si>
    <t>21-6030-6037-01</t>
  </si>
  <si>
    <t>21-6070-6071-01</t>
  </si>
  <si>
    <t>21-6070-6071-04-FGS Multi cores/FO cables and JBs to marshalling / system cabinets</t>
  </si>
  <si>
    <t>21-6070-6072-01</t>
  </si>
  <si>
    <t>21-6070-6073-01</t>
  </si>
  <si>
    <t>21-6600-6640-04</t>
  </si>
  <si>
    <t>21-6600-6640-05-SUB DISTRIBUTION AUXILIARY PANEL 04 (ROOM: M106) 21-IDB-667638</t>
  </si>
  <si>
    <t>21-6600-6640-05</t>
  </si>
  <si>
    <t>21-6800-6844-04</t>
  </si>
  <si>
    <t>21-9970-9971-01</t>
  </si>
  <si>
    <t>21-6100-6121-01</t>
  </si>
  <si>
    <t>21-6800-6844-11-FireZone6846-0-Level3-Utilityroom</t>
  </si>
  <si>
    <t>21-6800-6844-11</t>
  </si>
  <si>
    <t>21-6100-6140-01</t>
  </si>
  <si>
    <t>21-8020-8020-01</t>
  </si>
  <si>
    <t>21-8020-8020-02</t>
  </si>
  <si>
    <t>21-8020-8020-03</t>
  </si>
  <si>
    <t>21-8020-8029-01</t>
  </si>
  <si>
    <t>21-9310-9310-03-Hull Forward Area Completion</t>
  </si>
  <si>
    <t>21-9310-9310-03</t>
  </si>
  <si>
    <t>21-8020-8024-01</t>
  </si>
  <si>
    <t>21-8020-8024-02</t>
  </si>
  <si>
    <t>21-8020-8025-01</t>
  </si>
  <si>
    <t>21-9350-9350-03</t>
  </si>
  <si>
    <t>21-8020-8026-01</t>
  </si>
  <si>
    <t>21-8050-8051-01</t>
  </si>
  <si>
    <t>21-8050-8051-02</t>
  </si>
  <si>
    <t>21-8050-8051-03</t>
  </si>
  <si>
    <t>21-8020-8021-01</t>
  </si>
  <si>
    <t>21-8020-8021-02</t>
  </si>
  <si>
    <t>21-8020-8023-01</t>
  </si>
  <si>
    <t>21-8020-8023-02</t>
  </si>
  <si>
    <t>21-8020-8027-01</t>
  </si>
  <si>
    <t>21-8020-8027-03</t>
  </si>
  <si>
    <t>21-9921-9922-12-LQprovisionplantexhaustfans,ducting&amp;dampers</t>
  </si>
  <si>
    <t>21-9921-9922-12</t>
  </si>
  <si>
    <t>21-9921-9927-01</t>
  </si>
  <si>
    <t>21-8020-8027-02</t>
  </si>
  <si>
    <t>21-9350-9350-01</t>
  </si>
  <si>
    <t>21-9350-9350-02</t>
  </si>
  <si>
    <t>21-9350-9350-04</t>
  </si>
  <si>
    <t>21-9350-9350-05</t>
  </si>
  <si>
    <t>21-8100-8110-01-Hullplantairdistribution</t>
  </si>
  <si>
    <t>21-8100-8110-01</t>
  </si>
  <si>
    <t>21-6600-6640-01-LQ+HullEmergencyLighting&amp;smallpower400VboardESB-662401(inLQ)</t>
  </si>
  <si>
    <t>21-9380-9380-01</t>
  </si>
  <si>
    <t>21-6600-6624-01-LQEmergencylightingpanel&amp;circuits(HulldeckcorridorLH09)21-ELP-662460</t>
  </si>
  <si>
    <t>21-9380-9380-02</t>
  </si>
  <si>
    <t>21-9921-9921-02-LQbatteryexhaustfans,ducting&amp;dampers</t>
  </si>
  <si>
    <t>21-9380-9380-06</t>
  </si>
  <si>
    <t>21-9921-9921-04-LQEmergencySWBRoomACUs/ACCUs&amp;UCPs</t>
  </si>
  <si>
    <t>21-9380-9380-07</t>
  </si>
  <si>
    <t>21-6800-6830-05-FireZone6830-05-HullLevel-EmergencySwitchBoardRoom</t>
  </si>
  <si>
    <t>21-9380-9380-08</t>
  </si>
  <si>
    <t>21-9380-9380-09</t>
  </si>
  <si>
    <t>21-9380-9381-01</t>
  </si>
  <si>
    <t>21-6700-6701-04-LQNavAidsUPSsystem(inclbatteries,breakers&amp;subdistributionboard)</t>
  </si>
  <si>
    <t>21-6100-6110-03</t>
  </si>
  <si>
    <t>21-9921-9921-03-LQUPSRoomACUs/ACCUs&amp;UCPs</t>
  </si>
  <si>
    <t>21-6100-6110-01</t>
  </si>
  <si>
    <t>21-6800-6830-03-FireZone6830-03-HullLevel-BatteryRoom</t>
  </si>
  <si>
    <t>21-6800-6830-04-FireZone6830-04-HullLevel-UPS</t>
  </si>
  <si>
    <t>21-6600-6624-05</t>
  </si>
  <si>
    <t>21-6600-6624-06</t>
  </si>
  <si>
    <t>21-6600-6624-07</t>
  </si>
  <si>
    <t>21-6600-6676-06-Normallightingpanel05(LQHullDeckE&amp;ITrunk)21-ELP-667660</t>
  </si>
  <si>
    <t>21-6600-6675-08</t>
  </si>
  <si>
    <t>21-6600-6676-01</t>
  </si>
  <si>
    <t>21-6070-6073-03-HSSD-LQ(HullLevelElectricalrooms)</t>
  </si>
  <si>
    <t>21-6600-6676-03-Machinary workshop power panel (ROOM: M104) 21-ELP-667636</t>
  </si>
  <si>
    <t>21-6600-6676-03</t>
  </si>
  <si>
    <t>21-6700-6703-02</t>
  </si>
  <si>
    <t>21-9921-9922-01-LQHVACUCPs,EDBs,VSDs</t>
  </si>
  <si>
    <t>21-9330-9334-01</t>
  </si>
  <si>
    <t>21-9921-9922-02-LQHVACAHUs,ducting&amp;dampers</t>
  </si>
  <si>
    <t>21-6800-6830-01-FireZone6830-01-HullLevel-HVACRoom</t>
  </si>
  <si>
    <t>21-8000-8012-01</t>
  </si>
  <si>
    <t>21-6030-6036-03-PDBsinsideCCR</t>
  </si>
  <si>
    <t>21-6070-6073-03</t>
  </si>
  <si>
    <t>21-6030-6032-04-ICSSinterfaceservers,workstations&amp;networkswitches-LQengineeringroom</t>
  </si>
  <si>
    <t>21-6600-6610-01-EDGcommissioning</t>
  </si>
  <si>
    <t>21-6600-6610-01</t>
  </si>
  <si>
    <t>21-6070-6073-04-HSSD-LQ(CCR)</t>
  </si>
  <si>
    <t>21-6600-6640-01</t>
  </si>
  <si>
    <t>21-6010-6011-04-CAPPanelinCCR</t>
  </si>
  <si>
    <t>21-6600-6640-03</t>
  </si>
  <si>
    <t>21-6600-6660-01</t>
  </si>
  <si>
    <t>21-6800-6830-08-FireZone6830-08-DeckA-CCR,ICC,CentralSystemEngineeringRoom</t>
  </si>
  <si>
    <t>21-6800-6830-05</t>
  </si>
  <si>
    <t>21-9921-9921-05-LQCCRACUs/ACCUs&amp;UCPs</t>
  </si>
  <si>
    <t>21-6800-6830-06-FireZone6830-06-HullLevel-TransformerRoom</t>
  </si>
  <si>
    <t>21-6800-6830-06</t>
  </si>
  <si>
    <t>21-6800-6842-13-FireZone6843-3-EmergencyDieselGenerators</t>
  </si>
  <si>
    <t>21-6800-6842-13</t>
  </si>
  <si>
    <t>21-9220-9220-01-LQ Main Deck and Mezzanine</t>
  </si>
  <si>
    <t>21-9220-9220-01</t>
  </si>
  <si>
    <t>21-6600-6676-07-Normallightingpanel06(LQHullDeckAE&amp;ITrunk)21-ELP-667661</t>
  </si>
  <si>
    <t>21-9310-9310-01-Hull Main Deck Area Completion</t>
  </si>
  <si>
    <t>21-9310-9310-01</t>
  </si>
  <si>
    <t>21-9921-9921-04</t>
  </si>
  <si>
    <t>21-6030-6036-02-PDBsinsideCER</t>
  </si>
  <si>
    <t>21-6030-6032-01-ICSSinterfaceservers,workstations&amp;networkswitchesCCR&amp;CER</t>
  </si>
  <si>
    <t>21-6700-6701-01</t>
  </si>
  <si>
    <t>21-6020-6021-02-PASmarshalling&amp;systemcabinets-LQ(CER)</t>
  </si>
  <si>
    <t>21-6700-6701-02</t>
  </si>
  <si>
    <t>21-6010-6011-02-SISmarshalling&amp;systemcabinets-LQ(CER)</t>
  </si>
  <si>
    <t>21-6700-6701-04</t>
  </si>
  <si>
    <t>21-6070-6071-02-FGSmarshalling&amp;systemcabinets-LQ(CER)</t>
  </si>
  <si>
    <t>21-6800-6830-03</t>
  </si>
  <si>
    <t>21-6070-6072-02-Fireadressablepanels-LQ(CER)</t>
  </si>
  <si>
    <t>21-6800-6830-04</t>
  </si>
  <si>
    <t>21-6070-6073-05-HSSD-LQ(CER)</t>
  </si>
  <si>
    <t>21-9921-9921-03</t>
  </si>
  <si>
    <t>21-6800-6830-10-FireZone6831-01-Level1-InstrumentRoom</t>
  </si>
  <si>
    <t>21-9921-9921-06-LQCERACUs/ACCUs&amp;UCPs</t>
  </si>
  <si>
    <t>21-6600-6624-01</t>
  </si>
  <si>
    <t>21-6600-6676-04-LQ  Small Power for LQ aux eqt (ROOM: LH05) 21-ELP-667672</t>
  </si>
  <si>
    <t>21-6600-6676-04</t>
  </si>
  <si>
    <t>21-6600-6676-06</t>
  </si>
  <si>
    <t>21-6070-6073-06-HSSD-LQ(L5telecom&amp;UPSrooms)</t>
  </si>
  <si>
    <t>21-6800-6830-17-FireZone6835-02-Level5TelecomRoom</t>
  </si>
  <si>
    <t>21-6800-6830-01</t>
  </si>
  <si>
    <t>21-6800-6830-18-FireZone6835-03-Level5UPSRoom</t>
  </si>
  <si>
    <t>21-9921-9922-02</t>
  </si>
  <si>
    <t>21-6800-6830-19-FireZone6835-04-Level5BatteryRoom</t>
  </si>
  <si>
    <t>21-9921-9922-04-LQgalleyAHUs,ducting&amp;dampers</t>
  </si>
  <si>
    <t>21-9921-9922-04</t>
  </si>
  <si>
    <t>21-6030-6036-05-PDBsinsideL5telecomroom</t>
  </si>
  <si>
    <t>21-9500-9536-01-LAN/WAN(DataNetworkInfrastructure)</t>
  </si>
  <si>
    <t>21-6010-6011-04</t>
  </si>
  <si>
    <t>21-9500-9510-01-Telephonesystem</t>
  </si>
  <si>
    <t>21-6030-6036-03</t>
  </si>
  <si>
    <t>21-9500-9514-01-HotLine</t>
  </si>
  <si>
    <t>21-6070-6073-04</t>
  </si>
  <si>
    <t>21-9500-9534-01-StructuredCablingSystem</t>
  </si>
  <si>
    <t>21-6800-6830-07-FireZone6830-7-DeckA-EmergencyTeamMusterStation</t>
  </si>
  <si>
    <t>21-6800-6830-07</t>
  </si>
  <si>
    <t>21-9500-9535-01-FibreOpticCable</t>
  </si>
  <si>
    <t>21-6800-6830-08</t>
  </si>
  <si>
    <t>21-9500-9576-01-Entertainment</t>
  </si>
  <si>
    <t>21-6800-6830-09-FireZone6830-09-DeckALevel–LaboratoryRoom</t>
  </si>
  <si>
    <t>21-6800-6830-09</t>
  </si>
  <si>
    <t>21-9500-9539-01-Videoconference</t>
  </si>
  <si>
    <t>21-9220-9220-02-LQ A Deck - Area Completion</t>
  </si>
  <si>
    <t>21-9220-9220-02</t>
  </si>
  <si>
    <t>21-9500-9575-01-Voicerecordersystem</t>
  </si>
  <si>
    <t>21-9921-9921-05</t>
  </si>
  <si>
    <t>21-9500-9554-01-MeterologicalMETOCEANSystem</t>
  </si>
  <si>
    <t>21-6200-6226-01-NDB</t>
  </si>
  <si>
    <t>21-6600-6675-13-LQLaboratory(DeckA)DistBoard21-ELP-667675</t>
  </si>
  <si>
    <t>21-6600-6675-13</t>
  </si>
  <si>
    <t>21-6200-6228-01-VHFMarine</t>
  </si>
  <si>
    <t>21-6600-6676-07</t>
  </si>
  <si>
    <t>21-9500-9527-01-INMARSATTerminalandPortableSatPhones</t>
  </si>
  <si>
    <t>21-9500-9564-01-AccessControlSystem</t>
  </si>
  <si>
    <t>21-6010-6011-02</t>
  </si>
  <si>
    <t>21-9500-9544-01-MarineandSecurityCCTV</t>
  </si>
  <si>
    <t>21-6020-6021-02</t>
  </si>
  <si>
    <t>21-9921-9921-09-LQtelecomroomACUs/ACCUs&amp;UCPs</t>
  </si>
  <si>
    <t>21-6030-6032-01</t>
  </si>
  <si>
    <t>21-6030-6032-04</t>
  </si>
  <si>
    <t>21-6600-6624-04-LQEmergencylightingpanel&amp;circuits(L5HVACExtractroomL501)21-ELP-662463</t>
  </si>
  <si>
    <t>21-6030-6033-01-Intelligentdevicemanagementsystem(IDMS)</t>
  </si>
  <si>
    <t>21-6030-6033-01</t>
  </si>
  <si>
    <t>21-9921-9922-03-LQHVACextracts,ducting&amp;dampers</t>
  </si>
  <si>
    <t>21-6030-6034-01-Remoteperformancemanagementsystem(RPM)</t>
  </si>
  <si>
    <t>21-6030-6034-01</t>
  </si>
  <si>
    <t>21-6800-6830-16-FireZone6835-01-Level5HVACExtractRoom</t>
  </si>
  <si>
    <t>21-6030-6036-02</t>
  </si>
  <si>
    <t>21-6800-6830-20-FireZone6835-05to09-Level5AirIntakes</t>
  </si>
  <si>
    <t>21-6030-6039-01-Ballast/voidgassampling</t>
  </si>
  <si>
    <t>21-6030-6039-01</t>
  </si>
  <si>
    <t>21-6035-6035-01-ProcessCCTVcameras,consoles&amp;screens</t>
  </si>
  <si>
    <t>21-6035-6035-01</t>
  </si>
  <si>
    <t>21-6070-6071-02</t>
  </si>
  <si>
    <t>21-6020-6021-04</t>
  </si>
  <si>
    <t>21-6070-6072-02</t>
  </si>
  <si>
    <t>21-6070-6073-05</t>
  </si>
  <si>
    <t>21-9820-9823-01-GoodsLiftcommissioning(SAT)</t>
  </si>
  <si>
    <t>21-6800-6830-10</t>
  </si>
  <si>
    <t>21-6800-6844-18-FireZone6848-2-MachinerySpaceLift</t>
  </si>
  <si>
    <t>21-9220-9220-03-LQ Deck 1 - Area Completion</t>
  </si>
  <si>
    <t>21-9220-9220-03</t>
  </si>
  <si>
    <t>21-9921-9921-06</t>
  </si>
  <si>
    <t>21-9921-9922-01</t>
  </si>
  <si>
    <t>21-6030-6036-05</t>
  </si>
  <si>
    <t>21-6070-6073-06</t>
  </si>
  <si>
    <t>21-6200-6210-01-PA/GA</t>
  </si>
  <si>
    <t>21-6200-6210-01</t>
  </si>
  <si>
    <t>21-6200-6224-01-DigitalUHFNetwork</t>
  </si>
  <si>
    <t>21-6200-6224-01</t>
  </si>
  <si>
    <t>21-6200-6225-01-VHFAero</t>
  </si>
  <si>
    <t>21-6200-6225-01</t>
  </si>
  <si>
    <t>21-6200-6226-01</t>
  </si>
  <si>
    <t>21-6200-6228-01</t>
  </si>
  <si>
    <t>21-6500-6510-01-Navigationlightscontrolpanelandassociatedlanterns/foghornscircuits</t>
  </si>
  <si>
    <t>21-6500-6510-01</t>
  </si>
  <si>
    <t>21-6500-6520-02-Helidecklightscontrolpanelandassociatedbeacons</t>
  </si>
  <si>
    <t>21-6500-6520-02</t>
  </si>
  <si>
    <t>21-6500-6550-01</t>
  </si>
  <si>
    <t>21-6500-6556-01</t>
  </si>
  <si>
    <t>21-6700-6701-03</t>
  </si>
  <si>
    <t>21-6800-6830-17</t>
  </si>
  <si>
    <t>21-6800-6830-18</t>
  </si>
  <si>
    <t>21-6800-6830-19</t>
  </si>
  <si>
    <t>21-6800-6830-21-FireZone6836-Level5AntennaArea</t>
  </si>
  <si>
    <t>21-6800-6830-21</t>
  </si>
  <si>
    <t>21-9220-9220-07-LQ Deck 5 - Area Completion</t>
  </si>
  <si>
    <t>21-9220-9220-07</t>
  </si>
  <si>
    <t>21-9500-9510-01</t>
  </si>
  <si>
    <t>21-9500-9514-01</t>
  </si>
  <si>
    <t>21-9500-9525-01-LOS</t>
  </si>
  <si>
    <t>21-9500-9525-01</t>
  </si>
  <si>
    <t>21-9500-9527-01</t>
  </si>
  <si>
    <t>21-9500-9534-01</t>
  </si>
  <si>
    <t>21-9500-9535-01</t>
  </si>
  <si>
    <t>21-9500-9535-02</t>
  </si>
  <si>
    <t>21-9500-9536-01</t>
  </si>
  <si>
    <t>21-9500-9539-01</t>
  </si>
  <si>
    <t>21-9500-9544-01</t>
  </si>
  <si>
    <t>21-9500-9554-01</t>
  </si>
  <si>
    <t>21-9500-9555-01-Berthing Aids and Approach Systems</t>
  </si>
  <si>
    <t>21-9500-9555-01</t>
  </si>
  <si>
    <t>21-9500-9557-01/21-9500-9565-01/21-9500-9570-01/02/03-GMDSS/SSAS/Gyro/DGPS/EMS</t>
  </si>
  <si>
    <t>21-9500-9557-01</t>
  </si>
  <si>
    <t>21-9500-9564-01</t>
  </si>
  <si>
    <t>21-9500-9565-01-Ship Security Alert System (SSAS)</t>
  </si>
  <si>
    <t>21-9500-9565-01</t>
  </si>
  <si>
    <t>21-9500-9570-01</t>
  </si>
  <si>
    <t>21-9500-9570-02-D-GPS System</t>
  </si>
  <si>
    <t>21-9500-9570-02</t>
  </si>
  <si>
    <t>21-9500-9570-03</t>
  </si>
  <si>
    <t>21-9500-9574-01-NetworkManagementSystem</t>
  </si>
  <si>
    <t>21-9500-9574-01</t>
  </si>
  <si>
    <t>21-9500-9575-01</t>
  </si>
  <si>
    <t>21-9500-9576-01</t>
  </si>
  <si>
    <t>21-9921-9921-02</t>
  </si>
  <si>
    <t>21-9921-9921-09</t>
  </si>
  <si>
    <t>21-6600-6624-04</t>
  </si>
  <si>
    <t>21-6800-6830-16</t>
  </si>
  <si>
    <t>21-6800-6830-20</t>
  </si>
  <si>
    <t>21-6800-6842-15</t>
  </si>
  <si>
    <t>21-9220-9220-09</t>
  </si>
  <si>
    <t>21-9921-9921-01-LQEmergencypressurizationfans</t>
  </si>
  <si>
    <t>21-9921-9921-01</t>
  </si>
  <si>
    <t>21-9921-9921-07-LQSecondaryICCACUs/ACCUs&amp;UCPs</t>
  </si>
  <si>
    <t>21-9921-9921-07</t>
  </si>
  <si>
    <t>21-9921-9921-08-LQdiningroom/SecondarymusterACUs/ACCUs&amp;UCPs</t>
  </si>
  <si>
    <t>21-9921-9921-08</t>
  </si>
  <si>
    <t>21-9921-9922-03</t>
  </si>
  <si>
    <t>21-9921-9922-05-LQgalleyExtracts,ducting&amp;dampers</t>
  </si>
  <si>
    <t>21-9921-9922-05</t>
  </si>
  <si>
    <t>21-9921-9922-06-LQgalleyhoodexhaustfans,ducting&amp;dampers</t>
  </si>
  <si>
    <t>21-9921-9922-06</t>
  </si>
  <si>
    <t>21-9921-9922-07-LQtoiletexhaustfans,ducting&amp;dampers</t>
  </si>
  <si>
    <t>21-9921-9922-07</t>
  </si>
  <si>
    <t>21-9921-9922-08-LQlaundryexhaustfans,ducting&amp;dampers</t>
  </si>
  <si>
    <t>21-9921-9922-08</t>
  </si>
  <si>
    <t>21-9921-9922-09-LQsickbayexhaustfans,ducting&amp;dampers</t>
  </si>
  <si>
    <t>21-9921-9922-09</t>
  </si>
  <si>
    <t>21-9921-9922-10-LQchemicalexhaustfans,ducting&amp;dampers</t>
  </si>
  <si>
    <t>21-9921-9922-10</t>
  </si>
  <si>
    <t>21-9921-9922-11-LQlaboratoryexhaustfans,ducting&amp;dampers</t>
  </si>
  <si>
    <t>21-9921-9922-11</t>
  </si>
  <si>
    <t>21-6100-6140-03</t>
  </si>
  <si>
    <t>21-9220-9220-08-LQ Deck 6 - Area Completion</t>
  </si>
  <si>
    <t>21-9220-9220-08</t>
  </si>
  <si>
    <t>21-9220-9220-11-Helideck - Area Completion</t>
  </si>
  <si>
    <t>21-9220-9220-11</t>
  </si>
  <si>
    <t>21-9820-9822-01</t>
  </si>
  <si>
    <t>21-6800-6844-18</t>
  </si>
  <si>
    <t>21-9820-9823-01</t>
  </si>
  <si>
    <t>Column1</t>
  </si>
  <si>
    <t>Condensate tanks (8) &amp; pumps (MC)</t>
  </si>
  <si>
    <t>Main Ballast system completion (MC)</t>
  </si>
  <si>
    <t>Offspec condensate tank (1) &amp; pumps (MC)</t>
  </si>
  <si>
    <t>Salty Rich MEG tanks (3) &amp; pumps (MC)</t>
  </si>
  <si>
    <t>Offspec prod water tank (1) &amp; pumps (MC)</t>
  </si>
  <si>
    <t>Slops tanks (2) &amp; pumps (MC)</t>
  </si>
  <si>
    <t>Methanol tank (1) &amp; pumps (MC)</t>
  </si>
  <si>
    <t>Rich MEG tank (1) &amp; pumps (MC)</t>
  </si>
  <si>
    <t>Wax inhib tank (1) &amp; pumps (MC)</t>
  </si>
  <si>
    <t>Lifeboats installation completion (MC)</t>
  </si>
  <si>
    <t>Lean MEG tanks (2) &amp; pumps (MC)</t>
  </si>
  <si>
    <t>3rd level Normal / Ess power rooms completion (MC)</t>
  </si>
  <si>
    <t>1st level HVAC completion (MC)</t>
  </si>
  <si>
    <t>2nd level key service generators completion (MC)</t>
  </si>
  <si>
    <t>2nd level air compressor &amp; air dryers &amp; receiver completion (MC)</t>
  </si>
  <si>
    <t>2nd level HPUs ballast &amp; cargo completion (MC)</t>
  </si>
  <si>
    <t>3rd level Chlorine injection completion (MC)</t>
  </si>
  <si>
    <t>3rd level hot water calorifier &amp; pumps completion (MC)</t>
  </si>
  <si>
    <t>3rd level potable water tanks, package &amp; pumps completion (MC)</t>
  </si>
  <si>
    <t>3rd level fresh water tank &amp; pumps completion (MC)</t>
  </si>
  <si>
    <t>Bottom deck diesel tanks &amp; pumps (MC)</t>
  </si>
  <si>
    <t>Bottom deck diesel treatment system (MC)</t>
  </si>
  <si>
    <t>1st level HER instrumentation room completion (MC)</t>
  </si>
  <si>
    <t>3rd level water mist completion (MC)</t>
  </si>
  <si>
    <t>3rd level Foam package completion (MC)</t>
  </si>
  <si>
    <t>Bottom deck hull sea suction tubes and filters completion (MC)</t>
  </si>
  <si>
    <t>Bottom deck Marine SW main distribution header (between outlet of sea suction tubes filters and inlet to all (MC)</t>
  </si>
  <si>
    <t>Bottom level KSG sea water cooling system (pumps up to KSG and discharge) (MC)</t>
  </si>
  <si>
    <t>Bottom level Hull sea water cooling pumps 21-P-802004 A/B), header, cooling water exchanger and discharge (MC)</t>
  </si>
  <si>
    <t>Bottom level Hull Service sea water pumps 21-P-802005 A/B completion (MC)</t>
  </si>
  <si>
    <t>Bottom deck Hull service sea water header to HVAC cooling completion (MC)</t>
  </si>
  <si>
    <t>Bottom deck hull cooling water (marine cooling medium closed loop) completion (MC)</t>
  </si>
  <si>
    <t>Bottom deck hull IGG scrubber cooling completion (MC)</t>
  </si>
  <si>
    <t>Bottom deck hull IGG deck seal water cooling completion (MC)</t>
  </si>
  <si>
    <t>3rd level service sea water booster pumps and distribution to potable water system (MC)</t>
  </si>
  <si>
    <t>Bottom deck hull service sea water distribution to electrochlorination system completion (MC)</t>
  </si>
  <si>
    <t>Bottom deck MS ballast system completion (ballast tanks WBW6,7/WBE6,7/FPE1/FPW1, MS ballast ring main and MS(MC)</t>
  </si>
  <si>
    <t>Bottom deck bilge system completion (MC)</t>
  </si>
  <si>
    <t>Bottom deck jockey pumps and hull fire water ring main (MC)</t>
  </si>
  <si>
    <t>1st level electrical distribution completion (MC)</t>
  </si>
  <si>
    <t>2nd level valves HPUs completion (MC)</t>
  </si>
  <si>
    <t>3rd level rehardener &amp; uv sterilizer package (MC)</t>
  </si>
  <si>
    <t>Hull / Mezz Level Emergency&amp;UPS switchboard room completion (MC)</t>
  </si>
  <si>
    <t>Hull / Mezz Level Batteries room completion (MC)</t>
  </si>
  <si>
    <t>Hull / Mezz Level Normal power room completion - E/I trunk Hull deck (MC)</t>
  </si>
  <si>
    <t>Hull / Mezz Level HVAC room completion (MC)</t>
  </si>
  <si>
    <t>Deck A CCR room completion (MC)</t>
  </si>
  <si>
    <t>Deck A E/I room completion - E&amp;I trunk  Deck A (MC)</t>
  </si>
  <si>
    <t>Level 1 Instrumentation room (CER) completion (MC)</t>
  </si>
  <si>
    <t>Level 5 Telecom room completion (MC)</t>
  </si>
  <si>
    <t>Level 5 HVAC extract room completion (MC)</t>
  </si>
  <si>
    <t>Level 6 Helifoam system completion (MC)</t>
  </si>
  <si>
    <t>Personnel Lift installation completion (MC)</t>
  </si>
  <si>
    <t>Goods Lift installation completion (MC)</t>
  </si>
  <si>
    <t>3rd level Normal / Ess power rooms completion (MC)</t>
    <phoneticPr fontId="20" type="noConversion"/>
  </si>
  <si>
    <t>MC Forecast date</t>
    <phoneticPr fontId="20" type="noConversion"/>
  </si>
  <si>
    <t>21-6800-6842-04-FireZone6842-3-CargotankTop(CondensateTank3&amp;4)</t>
    <phoneticPr fontId="20" type="noConversion"/>
  </si>
  <si>
    <t>21-9330-9330-02-Main ballast ring main</t>
    <phoneticPr fontId="20" type="noConversion"/>
  </si>
  <si>
    <t>21-6100-6140-03-Helifoamsystem</t>
    <phoneticPr fontId="20" type="noConversion"/>
  </si>
  <si>
    <t>21-9820-9822-01-PersonnelLiftcommissioning(SAT)</t>
    <phoneticPr fontId="20" type="noConversion"/>
  </si>
  <si>
    <t>21-9370-9372-03</t>
    <phoneticPr fontId="20" type="noConversion"/>
  </si>
  <si>
    <t>21-9370-9372-04-Slopsheaters21-H-937001A/B(OnHD)</t>
    <phoneticPr fontId="20" type="noConversion"/>
  </si>
  <si>
    <t>21-9370-9372-09-Slopspolishing&amp;ODMS(oildischargemonitoring)units</t>
    <phoneticPr fontId="20" type="noConversion"/>
  </si>
  <si>
    <t>21-6800-6842-01-FireZone6842-0-CargoTankTop(RichMeg,Methanol,SaltyRichMEG2,OffspecCondensate,Slop,WaxInhibitor,ProducedWaterstoragetanks)&amp;FlareFacilitiesArea,includingmarinepiperack</t>
    <phoneticPr fontId="20" type="noConversion"/>
  </si>
  <si>
    <t>21-6800-6842-15-FireZone6843-4-PaintStore</t>
    <phoneticPr fontId="20" type="noConversion"/>
  </si>
  <si>
    <t>21-9970-9971-08-HULL Machinery Space AHU Air Supply</t>
    <phoneticPr fontId="20" type="noConversion"/>
  </si>
  <si>
    <t>21-8100-8120-02HullAirdryers</t>
    <phoneticPr fontId="20" type="noConversion"/>
  </si>
  <si>
    <t>21-9970-9971-12-HULL Machinery Space HPU AHU, Ducting &amp; Damper</t>
    <phoneticPr fontId="20" type="noConversion"/>
  </si>
  <si>
    <t>21-8060-8061-02-DieselBunkerheader/Dieselstoragetanks21-T-806001/2&amp;purifierpumps21-P-806002A/B</t>
    <phoneticPr fontId="20" type="noConversion"/>
  </si>
  <si>
    <t>21-8060-8062-01-Dieselservicetanks21-T-806003/4&amp;supplypumps21-P-806001A/B</t>
    <phoneticPr fontId="20" type="noConversion"/>
  </si>
  <si>
    <t>21-6600-6640-04-SUB DISTRIBUTION AUXILIARY PANEL 03 (ROOM: M106)21-EDB-662433</t>
    <phoneticPr fontId="20" type="noConversion"/>
  </si>
  <si>
    <t>21-6700-6703-02-Hull UPS subdistribution MS level 1</t>
    <phoneticPr fontId="20" type="noConversion"/>
  </si>
  <si>
    <t>21-6600-6640-03-SUB DISTRIBUTION AUXILIARY PANEL 01 (ROOM: LH16) 21-EDB-667671</t>
    <phoneticPr fontId="20" type="noConversion"/>
  </si>
  <si>
    <t>21-6500-6550-01-RADARvesseltrackingSystem</t>
    <phoneticPr fontId="20" type="noConversion"/>
  </si>
  <si>
    <t>21-9220-9220-03</t>
    <phoneticPr fontId="20" type="noConversion"/>
  </si>
  <si>
    <t>21-6020-6021-04</t>
    <phoneticPr fontId="20" type="noConversion"/>
  </si>
  <si>
    <t>21-6700-6701-02-LQTelecomUPSsystemBforHull&amp;LQ(inclbatteries,breakers&amp;subdistributionboard)</t>
    <phoneticPr fontId="20" type="noConversion"/>
  </si>
  <si>
    <t>21-9500-9570-01-Gyrocompass</t>
    <phoneticPr fontId="20" type="noConversion"/>
  </si>
  <si>
    <t>21-9500-9565-01</t>
    <phoneticPr fontId="20" type="noConversion"/>
  </si>
  <si>
    <t>21-9500-9570-03-Emergency Mustering System</t>
    <phoneticPr fontId="20" type="noConversion"/>
  </si>
  <si>
    <t>21-9220-9220-09</t>
    <phoneticPr fontId="20" type="noConversion"/>
  </si>
  <si>
    <t>21-9220-9220-09-LQ Roof Deck - Area Completion</t>
    <phoneticPr fontId="20" type="noConversion"/>
  </si>
  <si>
    <t>21-9500-9535-02-Subsea FO termination unit cables &amp; OJBs</t>
    <phoneticPr fontId="20" type="noConversion"/>
  </si>
  <si>
    <t>21-6500-6556-01-AutomaticIdentificationSystem</t>
    <phoneticPr fontId="20" type="noConversion"/>
  </si>
  <si>
    <t>21-6700-6701-03-LQTelecomUPSsystemAforTopsides(inclbatteries,breakers&amp;subdistributionboard)</t>
    <phoneticPr fontId="20" type="noConversion"/>
  </si>
  <si>
    <t>21-6600-6660-01-Emergency690VSwitchboardESB-666001andTransformers</t>
    <phoneticPr fontId="20" type="noConversion"/>
  </si>
  <si>
    <t>21-6600-6670-01-KeyserviceGeneratorG-667001</t>
    <phoneticPr fontId="20" type="noConversion"/>
  </si>
  <si>
    <t>21-6600-6670-01</t>
    <phoneticPr fontId="20" type="noConversion"/>
  </si>
  <si>
    <t>21-6700-6701-01-MainLQUPSsystem(inclbatteries,breakers&amp;subdistributionboard)</t>
    <phoneticPr fontId="20" type="noConversion"/>
  </si>
  <si>
    <t>21-9921-9927-01-Coolstoresystemingalley</t>
    <phoneticPr fontId="20" type="noConversion"/>
  </si>
  <si>
    <t>21-9350-9350-03</t>
    <phoneticPr fontId="20" type="noConversion"/>
  </si>
  <si>
    <t>21-8020-8020-02</t>
    <phoneticPr fontId="20" type="noConversion"/>
  </si>
  <si>
    <t>21-8020-8020-02-MarineSWSeaSuctionTube&amp;filter21-F-802002</t>
    <phoneticPr fontId="20" type="noConversion"/>
  </si>
  <si>
    <t>21-8020-8020-01-MarineSWSeaSuctionTube&amp;filter21-F-802001</t>
    <phoneticPr fontId="20" type="noConversion"/>
  </si>
  <si>
    <t>1 month prior comm,</t>
  </si>
  <si>
    <r>
      <t xml:space="preserve">Click on </t>
    </r>
    <r>
      <rPr>
        <b/>
        <sz val="11"/>
        <color theme="1"/>
        <rFont val="Arial"/>
        <family val="2"/>
      </rPr>
      <t>system number</t>
    </r>
    <r>
      <rPr>
        <sz val="11"/>
        <color theme="1"/>
        <rFont val="Arial"/>
        <family val="2"/>
      </rPr>
      <t xml:space="preserve"> below to see the detail </t>
    </r>
  </si>
  <si>
    <t>WD Done</t>
  </si>
  <si>
    <t>WD Rejected</t>
  </si>
  <si>
    <t>RFI Issue Date</t>
  </si>
  <si>
    <t>REJECTED</t>
  </si>
  <si>
    <t>RFI Issued Date</t>
  </si>
  <si>
    <t>WD Completed Date</t>
  </si>
  <si>
    <t>PL Received</t>
  </si>
  <si>
    <t>PL Received
Date</t>
  </si>
  <si>
    <t>WD not yet started</t>
  </si>
  <si>
    <t>Legend</t>
  </si>
  <si>
    <t>WD Date</t>
  </si>
  <si>
    <t>WD Forecast date</t>
  </si>
  <si>
    <t>Commissioning Forecast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</si>
</sst>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rgb="FF262626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2A80B9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6E4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7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rgb="FFCE0B0B"/>
      </left>
      <right style="thin">
        <color rgb="FFCE0B0B"/>
      </right>
      <top style="thin">
        <color rgb="FFCE0B0B"/>
      </top>
      <bottom style="thin">
        <color rgb="FFCE0B0B"/>
      </bottom>
      <diagonal/>
    </border>
    <border>
      <left style="thin">
        <color indexed="64"/>
      </left>
      <right style="thin">
        <color rgb="FF44748C"/>
      </right>
      <top/>
      <bottom/>
      <diagonal/>
    </border>
    <border>
      <left style="thin">
        <color rgb="FF44748C"/>
      </left>
      <right style="thin">
        <color rgb="FF44748C"/>
      </right>
      <top/>
      <bottom/>
      <diagonal/>
    </border>
    <border>
      <left style="thin">
        <color rgb="FF44748C"/>
      </left>
      <right/>
      <top/>
      <bottom/>
      <diagonal/>
    </border>
    <border>
      <left style="thin">
        <color rgb="FF44748C"/>
      </left>
      <right style="thin">
        <color rgb="FF44748C"/>
      </right>
      <top/>
      <bottom style="thin">
        <color indexed="64"/>
      </bottom>
      <diagonal/>
    </border>
    <border>
      <left style="thin">
        <color rgb="FF44748C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indexed="64"/>
      </left>
      <right style="thin">
        <color rgb="FF44748C"/>
      </right>
      <top/>
      <bottom style="thin">
        <color indexed="64"/>
      </bottom>
      <diagonal/>
    </border>
    <border>
      <left style="thin">
        <color rgb="FF383838"/>
      </left>
      <right style="thin">
        <color rgb="FF383838"/>
      </right>
      <top style="thin">
        <color rgb="FF383838"/>
      </top>
      <bottom style="thin">
        <color rgb="FF383838"/>
      </bottom>
      <diagonal/>
    </border>
    <border>
      <left style="thin">
        <color rgb="FF262626"/>
      </left>
      <right style="thin">
        <color rgb="FF262626"/>
      </right>
      <top style="thin">
        <color rgb="FF262626"/>
      </top>
      <bottom style="thin">
        <color rgb="FF26262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6" fillId="0" borderId="0"/>
    <xf numFmtId="0" fontId="16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top" wrapText="1"/>
    </xf>
    <xf numFmtId="0" fontId="0" fillId="0" borderId="0" xfId="0" applyFont="1"/>
    <xf numFmtId="0" fontId="6" fillId="4" borderId="0" xfId="0" applyFont="1" applyFill="1" applyAlignment="1">
      <alignment horizontal="center" vertical="top" wrapText="1"/>
    </xf>
    <xf numFmtId="0" fontId="8" fillId="0" borderId="0" xfId="0" applyFont="1"/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3" fillId="2" borderId="0" xfId="0" applyFont="1" applyFill="1" applyAlignment="1">
      <alignment vertical="top"/>
    </xf>
    <xf numFmtId="0" fontId="3" fillId="6" borderId="0" xfId="0" applyFont="1" applyFill="1" applyAlignment="1">
      <alignment vertical="top"/>
    </xf>
    <xf numFmtId="0" fontId="3" fillId="5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4" fillId="5" borderId="0" xfId="0" applyFont="1" applyFill="1" applyBorder="1" applyAlignment="1">
      <alignment vertical="top"/>
    </xf>
    <xf numFmtId="0" fontId="3" fillId="7" borderId="0" xfId="0" applyFont="1" applyFill="1" applyAlignment="1">
      <alignment vertical="top"/>
    </xf>
    <xf numFmtId="0" fontId="10" fillId="0" borderId="0" xfId="0" applyFont="1"/>
    <xf numFmtId="0" fontId="11" fillId="0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3" fillId="10" borderId="0" xfId="0" applyFont="1" applyFill="1" applyAlignment="1">
      <alignment vertical="top"/>
    </xf>
    <xf numFmtId="0" fontId="3" fillId="3" borderId="0" xfId="0" applyFont="1" applyFill="1" applyAlignment="1">
      <alignment vertical="top"/>
    </xf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9" fontId="14" fillId="0" borderId="0" xfId="1" applyNumberFormat="1" applyFont="1" applyFill="1" applyAlignment="1">
      <alignment horizontal="center" vertical="center"/>
    </xf>
    <xf numFmtId="164" fontId="14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17" fillId="0" borderId="0" xfId="0" applyFont="1"/>
    <xf numFmtId="0" fontId="0" fillId="0" borderId="0" xfId="0" applyNumberFormat="1"/>
    <xf numFmtId="0" fontId="0" fillId="12" borderId="0" xfId="0" applyFill="1"/>
    <xf numFmtId="0" fontId="0" fillId="12" borderId="0" xfId="0" applyFont="1" applyFill="1"/>
    <xf numFmtId="0" fontId="0" fillId="0" borderId="0" xfId="0" applyFill="1"/>
    <xf numFmtId="0" fontId="0" fillId="0" borderId="0" xfId="0" applyBorder="1"/>
    <xf numFmtId="0" fontId="0" fillId="13" borderId="0" xfId="0" applyFont="1" applyFill="1"/>
    <xf numFmtId="0" fontId="0" fillId="0" borderId="0" xfId="0" applyFont="1" applyFill="1"/>
    <xf numFmtId="0" fontId="15" fillId="0" borderId="0" xfId="0" applyFont="1"/>
    <xf numFmtId="0" fontId="0" fillId="0" borderId="0" xfId="0" applyNumberFormat="1" applyBorder="1"/>
    <xf numFmtId="0" fontId="0" fillId="0" borderId="0" xfId="0" applyFill="1" applyBorder="1"/>
    <xf numFmtId="15" fontId="3" fillId="0" borderId="0" xfId="0" applyNumberFormat="1" applyFont="1" applyFill="1" applyAlignment="1">
      <alignment horizontal="center" vertical="center"/>
    </xf>
    <xf numFmtId="9" fontId="3" fillId="0" borderId="0" xfId="1" applyNumberFormat="1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11" borderId="12" xfId="0" applyFill="1" applyBorder="1"/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8" borderId="0" xfId="0" applyFont="1" applyFill="1" applyAlignment="1">
      <alignment horizontal="left" vertical="top" wrapText="1"/>
    </xf>
    <xf numFmtId="14" fontId="3" fillId="10" borderId="0" xfId="0" applyNumberFormat="1" applyFont="1" applyFill="1" applyAlignment="1">
      <alignment horizontal="left"/>
    </xf>
    <xf numFmtId="15" fontId="3" fillId="0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3" fillId="10" borderId="0" xfId="0" applyNumberFormat="1" applyFont="1" applyFill="1" applyAlignment="1">
      <alignment horizontal="center"/>
    </xf>
    <xf numFmtId="0" fontId="0" fillId="0" borderId="11" xfId="0" applyFill="1" applyBorder="1"/>
    <xf numFmtId="0" fontId="2" fillId="0" borderId="0" xfId="0" applyFont="1"/>
    <xf numFmtId="0" fontId="17" fillId="0" borderId="0" xfId="0" applyFont="1" applyFill="1"/>
    <xf numFmtId="0" fontId="17" fillId="0" borderId="0" xfId="0" applyFont="1" applyFill="1" applyBorder="1"/>
    <xf numFmtId="0" fontId="18" fillId="0" borderId="0" xfId="0" applyFont="1" applyFill="1" applyBorder="1"/>
    <xf numFmtId="0" fontId="18" fillId="0" borderId="0" xfId="0" applyFont="1" applyFill="1"/>
    <xf numFmtId="0" fontId="0" fillId="0" borderId="0" xfId="0" applyNumberFormat="1" applyFill="1"/>
    <xf numFmtId="0" fontId="0" fillId="0" borderId="0" xfId="0" applyNumberFormat="1" applyFill="1" applyBorder="1"/>
    <xf numFmtId="0" fontId="15" fillId="0" borderId="0" xfId="0" applyFont="1" applyFill="1"/>
    <xf numFmtId="0" fontId="3" fillId="0" borderId="0" xfId="0" applyFont="1" applyFill="1"/>
    <xf numFmtId="0" fontId="17" fillId="0" borderId="11" xfId="0" applyFont="1" applyFill="1" applyBorder="1"/>
    <xf numFmtId="0" fontId="3" fillId="0" borderId="0" xfId="0" applyFont="1" applyFill="1" applyBorder="1"/>
    <xf numFmtId="0" fontId="21" fillId="0" borderId="0" xfId="0" applyFont="1"/>
    <xf numFmtId="0" fontId="21" fillId="0" borderId="0" xfId="0" applyFont="1" applyAlignment="1">
      <alignment vertical="top"/>
    </xf>
    <xf numFmtId="0" fontId="22" fillId="0" borderId="0" xfId="0" applyFont="1"/>
    <xf numFmtId="0" fontId="24" fillId="0" borderId="0" xfId="0" applyFont="1"/>
    <xf numFmtId="0" fontId="19" fillId="15" borderId="4" xfId="2" applyFont="1" applyFill="1" applyBorder="1" applyAlignment="1">
      <alignment horizontal="center" wrapText="1"/>
    </xf>
    <xf numFmtId="0" fontId="9" fillId="16" borderId="0" xfId="0" applyFont="1" applyFill="1" applyBorder="1" applyAlignment="1">
      <alignment vertical="top"/>
    </xf>
    <xf numFmtId="0" fontId="3" fillId="12" borderId="0" xfId="0" applyFont="1" applyFill="1" applyAlignment="1">
      <alignment vertical="top"/>
    </xf>
    <xf numFmtId="0" fontId="3" fillId="14" borderId="0" xfId="0" applyFont="1" applyFill="1" applyAlignment="1">
      <alignment vertical="top"/>
    </xf>
    <xf numFmtId="0" fontId="3" fillId="0" borderId="0" xfId="0" applyFont="1" applyFill="1" applyAlignment="1">
      <alignment horizontal="center" vertical="top" wrapText="1"/>
    </xf>
    <xf numFmtId="16" fontId="3" fillId="0" borderId="0" xfId="0" applyNumberFormat="1" applyFont="1" applyFill="1" applyAlignment="1">
      <alignment horizontal="center" vertical="center"/>
    </xf>
    <xf numFmtId="0" fontId="9" fillId="18" borderId="0" xfId="0" applyFont="1" applyFill="1" applyBorder="1" applyAlignment="1">
      <alignment vertical="top"/>
    </xf>
    <xf numFmtId="0" fontId="25" fillId="19" borderId="13" xfId="2" applyFont="1" applyFill="1" applyBorder="1" applyAlignment="1">
      <alignment horizontal="center" wrapText="1"/>
    </xf>
    <xf numFmtId="0" fontId="25" fillId="17" borderId="14" xfId="2" applyFont="1" applyFill="1" applyBorder="1" applyAlignment="1">
      <alignment horizontal="center" wrapText="1"/>
    </xf>
    <xf numFmtId="15" fontId="24" fillId="20" borderId="10" xfId="0" applyNumberFormat="1" applyFont="1" applyFill="1" applyBorder="1"/>
    <xf numFmtId="0" fontId="1" fillId="21" borderId="0" xfId="0" applyFont="1" applyFill="1" applyBorder="1" applyAlignment="1">
      <alignment vertical="top"/>
    </xf>
    <xf numFmtId="0" fontId="4" fillId="10" borderId="0" xfId="0" applyFont="1" applyFill="1" applyBorder="1" applyAlignment="1">
      <alignment vertical="top"/>
    </xf>
    <xf numFmtId="0" fontId="4" fillId="10" borderId="15" xfId="0" applyFont="1" applyFill="1" applyBorder="1" applyAlignment="1">
      <alignment vertical="top"/>
    </xf>
    <xf numFmtId="0" fontId="0" fillId="0" borderId="15" xfId="0" applyBorder="1"/>
    <xf numFmtId="0" fontId="1" fillId="21" borderId="15" xfId="0" applyFont="1" applyFill="1" applyBorder="1" applyAlignment="1">
      <alignment vertical="top"/>
    </xf>
    <xf numFmtId="0" fontId="9" fillId="18" borderId="15" xfId="0" applyFont="1" applyFill="1" applyBorder="1" applyAlignment="1">
      <alignment vertical="top"/>
    </xf>
    <xf numFmtId="0" fontId="9" fillId="16" borderId="15" xfId="0" applyFont="1" applyFill="1" applyBorder="1" applyAlignment="1">
      <alignment vertical="top"/>
    </xf>
    <xf numFmtId="0" fontId="1" fillId="5" borderId="0" xfId="0" applyFont="1" applyFill="1" applyBorder="1" applyAlignment="1">
      <alignment vertical="top"/>
    </xf>
    <xf numFmtId="0" fontId="1" fillId="0" borderId="9" xfId="0" applyFont="1" applyBorder="1" applyAlignment="1">
      <alignment horizontal="left" vertical="top" wrapText="1"/>
    </xf>
    <xf numFmtId="0" fontId="1" fillId="0" borderId="16" xfId="0" applyFont="1" applyBorder="1" applyAlignment="1">
      <alignment horizontal="left" vertical="top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horizontal="center" vertical="top" wrapText="1"/>
    </xf>
  </cellXfs>
  <cellStyles count="5">
    <cellStyle name="Hyperlink" xfId="2" builtinId="8"/>
    <cellStyle name="Normal" xfId="0" builtinId="0"/>
    <cellStyle name="Normal 2" xfId="3" xr:uid="{00000000-0005-0000-0000-000000000000}"/>
    <cellStyle name="Normal 5" xfId="4" xr:uid="{00000000-0005-0000-0000-000001000000}"/>
    <cellStyle name="Percent" xfId="1" builtinId="5"/>
  </cellStyles>
  <dxfs count="14"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164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164" formatCode="[$-409]d\-mmm\-yy;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minor"/>
      </font>
      <numFmt numFmtId="20" formatCode="d\-mmm\-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minor"/>
      </font>
      <numFmt numFmtId="166" formatCode="yyyy/m/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20" formatCode="d\-mmm\-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FF"/>
      <color rgb="FF2A80B9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ystem!A1"/><Relationship Id="rId1" Type="http://schemas.openxmlformats.org/officeDocument/2006/relationships/hyperlink" Target="#Skylin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ystem!A1"/><Relationship Id="rId1" Type="http://schemas.openxmlformats.org/officeDocument/2006/relationships/hyperlink" Target="#Skylin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15</xdr:col>
          <xdr:colOff>523875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Calibri"/>
                  <a:cs typeface="Calibri"/>
                </a:rPr>
                <a:t>Set Range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40640</xdr:colOff>
      <xdr:row>0</xdr:row>
      <xdr:rowOff>19920</xdr:rowOff>
    </xdr:from>
    <xdr:ext cx="3917932" cy="264560"/>
    <xdr:sp macro="" textlink="">
      <xdr:nvSpPr>
        <xdr:cNvPr id="4" name="WARNING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956800" y="19920"/>
          <a:ext cx="39179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PLEASE ENABLE MACRO CONTENT TO ACTIVATE VBA FUNCTION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257175</xdr:rowOff>
        </xdr:from>
        <xdr:to>
          <xdr:col>15</xdr:col>
          <xdr:colOff>523875</xdr:colOff>
          <xdr:row>0</xdr:row>
          <xdr:rowOff>447675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Calibri"/>
                  <a:cs typeface="Calibri"/>
                </a:rPr>
                <a:t>Generate Skyline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</xdr:col>
      <xdr:colOff>168274</xdr:colOff>
      <xdr:row>0</xdr:row>
      <xdr:rowOff>533400</xdr:rowOff>
    </xdr:to>
    <xdr:grpSp>
      <xdr:nvGrpSpPr>
        <xdr:cNvPr id="5" name="TOOLB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0" y="0"/>
          <a:ext cx="1131980" cy="533400"/>
          <a:chOff x="445108" y="-152400"/>
          <a:chExt cx="411081" cy="533400"/>
        </a:xfrm>
      </xdr:grpSpPr>
      <xdr:sp macro="" textlink="">
        <xdr:nvSpPr>
          <xdr:cNvPr id="10" name="Freefor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/>
          </xdr:cNvSpPr>
        </xdr:nvSpPr>
        <xdr:spPr>
          <a:xfrm>
            <a:off x="445108" y="-152400"/>
            <a:ext cx="193993" cy="533400"/>
          </a:xfrm>
          <a:custGeom>
            <a:avLst/>
            <a:gdLst>
              <a:gd name="connsiteX0" fmla="*/ 3616960 w 5486400"/>
              <a:gd name="connsiteY0" fmla="*/ 3458464 h 5486400"/>
              <a:gd name="connsiteX1" fmla="*/ 3616960 w 5486400"/>
              <a:gd name="connsiteY1" fmla="*/ 3793744 h 5486400"/>
              <a:gd name="connsiteX2" fmla="*/ 5120640 w 5486400"/>
              <a:gd name="connsiteY2" fmla="*/ 3793744 h 5486400"/>
              <a:gd name="connsiteX3" fmla="*/ 5120640 w 5486400"/>
              <a:gd name="connsiteY3" fmla="*/ 3458464 h 5486400"/>
              <a:gd name="connsiteX4" fmla="*/ 1991360 w 5486400"/>
              <a:gd name="connsiteY4" fmla="*/ 3458464 h 5486400"/>
              <a:gd name="connsiteX5" fmla="*/ 1991360 w 5486400"/>
              <a:gd name="connsiteY5" fmla="*/ 3793744 h 5486400"/>
              <a:gd name="connsiteX6" fmla="*/ 3495040 w 5486400"/>
              <a:gd name="connsiteY6" fmla="*/ 3793744 h 5486400"/>
              <a:gd name="connsiteX7" fmla="*/ 3495040 w 5486400"/>
              <a:gd name="connsiteY7" fmla="*/ 3458464 h 5486400"/>
              <a:gd name="connsiteX8" fmla="*/ 365760 w 5486400"/>
              <a:gd name="connsiteY8" fmla="*/ 3458464 h 5486400"/>
              <a:gd name="connsiteX9" fmla="*/ 365760 w 5486400"/>
              <a:gd name="connsiteY9" fmla="*/ 3793744 h 5486400"/>
              <a:gd name="connsiteX10" fmla="*/ 1869440 w 5486400"/>
              <a:gd name="connsiteY10" fmla="*/ 3793744 h 5486400"/>
              <a:gd name="connsiteX11" fmla="*/ 1869440 w 5486400"/>
              <a:gd name="connsiteY11" fmla="*/ 3458464 h 5486400"/>
              <a:gd name="connsiteX12" fmla="*/ 1991360 w 5486400"/>
              <a:gd name="connsiteY12" fmla="*/ 3102864 h 5486400"/>
              <a:gd name="connsiteX13" fmla="*/ 1991360 w 5486400"/>
              <a:gd name="connsiteY13" fmla="*/ 3438144 h 5486400"/>
              <a:gd name="connsiteX14" fmla="*/ 3495040 w 5486400"/>
              <a:gd name="connsiteY14" fmla="*/ 3438144 h 5486400"/>
              <a:gd name="connsiteX15" fmla="*/ 3495040 w 5486400"/>
              <a:gd name="connsiteY15" fmla="*/ 3102864 h 5486400"/>
              <a:gd name="connsiteX16" fmla="*/ 365760 w 5486400"/>
              <a:gd name="connsiteY16" fmla="*/ 3102864 h 5486400"/>
              <a:gd name="connsiteX17" fmla="*/ 365760 w 5486400"/>
              <a:gd name="connsiteY17" fmla="*/ 3438144 h 5486400"/>
              <a:gd name="connsiteX18" fmla="*/ 1869440 w 5486400"/>
              <a:gd name="connsiteY18" fmla="*/ 3438144 h 5486400"/>
              <a:gd name="connsiteX19" fmla="*/ 1869440 w 5486400"/>
              <a:gd name="connsiteY19" fmla="*/ 3102864 h 5486400"/>
              <a:gd name="connsiteX20" fmla="*/ 3616960 w 5486400"/>
              <a:gd name="connsiteY20" fmla="*/ 3098800 h 5486400"/>
              <a:gd name="connsiteX21" fmla="*/ 3616960 w 5486400"/>
              <a:gd name="connsiteY21" fmla="*/ 3434080 h 5486400"/>
              <a:gd name="connsiteX22" fmla="*/ 5120640 w 5486400"/>
              <a:gd name="connsiteY22" fmla="*/ 3434080 h 5486400"/>
              <a:gd name="connsiteX23" fmla="*/ 5120640 w 5486400"/>
              <a:gd name="connsiteY23" fmla="*/ 3098800 h 5486400"/>
              <a:gd name="connsiteX24" fmla="*/ 1991360 w 5486400"/>
              <a:gd name="connsiteY24" fmla="*/ 2747264 h 5486400"/>
              <a:gd name="connsiteX25" fmla="*/ 1991360 w 5486400"/>
              <a:gd name="connsiteY25" fmla="*/ 3082544 h 5486400"/>
              <a:gd name="connsiteX26" fmla="*/ 3495040 w 5486400"/>
              <a:gd name="connsiteY26" fmla="*/ 3082544 h 5486400"/>
              <a:gd name="connsiteX27" fmla="*/ 3495040 w 5486400"/>
              <a:gd name="connsiteY27" fmla="*/ 2747264 h 5486400"/>
              <a:gd name="connsiteX28" fmla="*/ 365760 w 5486400"/>
              <a:gd name="connsiteY28" fmla="*/ 2747264 h 5486400"/>
              <a:gd name="connsiteX29" fmla="*/ 365760 w 5486400"/>
              <a:gd name="connsiteY29" fmla="*/ 3082544 h 5486400"/>
              <a:gd name="connsiteX30" fmla="*/ 1869440 w 5486400"/>
              <a:gd name="connsiteY30" fmla="*/ 3082544 h 5486400"/>
              <a:gd name="connsiteX31" fmla="*/ 1869440 w 5486400"/>
              <a:gd name="connsiteY31" fmla="*/ 2747264 h 5486400"/>
              <a:gd name="connsiteX32" fmla="*/ 3616960 w 5486400"/>
              <a:gd name="connsiteY32" fmla="*/ 2743200 h 5486400"/>
              <a:gd name="connsiteX33" fmla="*/ 3616960 w 5486400"/>
              <a:gd name="connsiteY33" fmla="*/ 3078480 h 5486400"/>
              <a:gd name="connsiteX34" fmla="*/ 5120640 w 5486400"/>
              <a:gd name="connsiteY34" fmla="*/ 3078480 h 5486400"/>
              <a:gd name="connsiteX35" fmla="*/ 5120640 w 5486400"/>
              <a:gd name="connsiteY35" fmla="*/ 2743200 h 5486400"/>
              <a:gd name="connsiteX36" fmla="*/ 1991360 w 5486400"/>
              <a:gd name="connsiteY36" fmla="*/ 2391664 h 5486400"/>
              <a:gd name="connsiteX37" fmla="*/ 1991360 w 5486400"/>
              <a:gd name="connsiteY37" fmla="*/ 2726944 h 5486400"/>
              <a:gd name="connsiteX38" fmla="*/ 3495040 w 5486400"/>
              <a:gd name="connsiteY38" fmla="*/ 2726944 h 5486400"/>
              <a:gd name="connsiteX39" fmla="*/ 3495040 w 5486400"/>
              <a:gd name="connsiteY39" fmla="*/ 2391664 h 5486400"/>
              <a:gd name="connsiteX40" fmla="*/ 3616960 w 5486400"/>
              <a:gd name="connsiteY40" fmla="*/ 2387600 h 5486400"/>
              <a:gd name="connsiteX41" fmla="*/ 3616960 w 5486400"/>
              <a:gd name="connsiteY41" fmla="*/ 2722880 h 5486400"/>
              <a:gd name="connsiteX42" fmla="*/ 5120640 w 5486400"/>
              <a:gd name="connsiteY42" fmla="*/ 2722880 h 5486400"/>
              <a:gd name="connsiteX43" fmla="*/ 5120640 w 5486400"/>
              <a:gd name="connsiteY43" fmla="*/ 2387600 h 5486400"/>
              <a:gd name="connsiteX44" fmla="*/ 1991360 w 5486400"/>
              <a:gd name="connsiteY44" fmla="*/ 2036064 h 5486400"/>
              <a:gd name="connsiteX45" fmla="*/ 1991360 w 5486400"/>
              <a:gd name="connsiteY45" fmla="*/ 2371344 h 5486400"/>
              <a:gd name="connsiteX46" fmla="*/ 3495040 w 5486400"/>
              <a:gd name="connsiteY46" fmla="*/ 2371344 h 5486400"/>
              <a:gd name="connsiteX47" fmla="*/ 3495040 w 5486400"/>
              <a:gd name="connsiteY47" fmla="*/ 2036064 h 5486400"/>
              <a:gd name="connsiteX48" fmla="*/ 1991360 w 5486400"/>
              <a:gd name="connsiteY48" fmla="*/ 1680464 h 5486400"/>
              <a:gd name="connsiteX49" fmla="*/ 1991360 w 5486400"/>
              <a:gd name="connsiteY49" fmla="*/ 2015744 h 5486400"/>
              <a:gd name="connsiteX50" fmla="*/ 3495040 w 5486400"/>
              <a:gd name="connsiteY50" fmla="*/ 2015744 h 5486400"/>
              <a:gd name="connsiteX51" fmla="*/ 3495040 w 5486400"/>
              <a:gd name="connsiteY51" fmla="*/ 1680464 h 5486400"/>
              <a:gd name="connsiteX52" fmla="*/ 0 w 5486400"/>
              <a:gd name="connsiteY52" fmla="*/ 0 h 5486400"/>
              <a:gd name="connsiteX53" fmla="*/ 5486400 w 5486400"/>
              <a:gd name="connsiteY53" fmla="*/ 0 h 5486400"/>
              <a:gd name="connsiteX54" fmla="*/ 5486400 w 5486400"/>
              <a:gd name="connsiteY54" fmla="*/ 5486400 h 5486400"/>
              <a:gd name="connsiteX55" fmla="*/ 0 w 5486400"/>
              <a:gd name="connsiteY55" fmla="*/ 5486400 h 5486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5486400" h="5486400">
                <a:moveTo>
                  <a:pt x="3616960" y="3458464"/>
                </a:moveTo>
                <a:lnTo>
                  <a:pt x="3616960" y="3793744"/>
                </a:lnTo>
                <a:lnTo>
                  <a:pt x="5120640" y="3793744"/>
                </a:lnTo>
                <a:lnTo>
                  <a:pt x="5120640" y="3458464"/>
                </a:lnTo>
                <a:close/>
                <a:moveTo>
                  <a:pt x="1991360" y="3458464"/>
                </a:moveTo>
                <a:lnTo>
                  <a:pt x="1991360" y="3793744"/>
                </a:lnTo>
                <a:lnTo>
                  <a:pt x="3495040" y="3793744"/>
                </a:lnTo>
                <a:lnTo>
                  <a:pt x="3495040" y="3458464"/>
                </a:lnTo>
                <a:close/>
                <a:moveTo>
                  <a:pt x="365760" y="3458464"/>
                </a:moveTo>
                <a:lnTo>
                  <a:pt x="365760" y="3793744"/>
                </a:lnTo>
                <a:lnTo>
                  <a:pt x="1869440" y="3793744"/>
                </a:lnTo>
                <a:lnTo>
                  <a:pt x="1869440" y="3458464"/>
                </a:lnTo>
                <a:close/>
                <a:moveTo>
                  <a:pt x="1991360" y="3102864"/>
                </a:moveTo>
                <a:lnTo>
                  <a:pt x="1991360" y="3438144"/>
                </a:lnTo>
                <a:lnTo>
                  <a:pt x="3495040" y="3438144"/>
                </a:lnTo>
                <a:lnTo>
                  <a:pt x="3495040" y="3102864"/>
                </a:lnTo>
                <a:close/>
                <a:moveTo>
                  <a:pt x="365760" y="3102864"/>
                </a:moveTo>
                <a:lnTo>
                  <a:pt x="365760" y="3438144"/>
                </a:lnTo>
                <a:lnTo>
                  <a:pt x="1869440" y="3438144"/>
                </a:lnTo>
                <a:lnTo>
                  <a:pt x="1869440" y="3102864"/>
                </a:lnTo>
                <a:close/>
                <a:moveTo>
                  <a:pt x="3616960" y="3098800"/>
                </a:moveTo>
                <a:lnTo>
                  <a:pt x="3616960" y="3434080"/>
                </a:lnTo>
                <a:lnTo>
                  <a:pt x="5120640" y="3434080"/>
                </a:lnTo>
                <a:lnTo>
                  <a:pt x="5120640" y="3098800"/>
                </a:lnTo>
                <a:close/>
                <a:moveTo>
                  <a:pt x="1991360" y="2747264"/>
                </a:moveTo>
                <a:lnTo>
                  <a:pt x="1991360" y="3082544"/>
                </a:lnTo>
                <a:lnTo>
                  <a:pt x="3495040" y="3082544"/>
                </a:lnTo>
                <a:lnTo>
                  <a:pt x="3495040" y="2747264"/>
                </a:lnTo>
                <a:close/>
                <a:moveTo>
                  <a:pt x="365760" y="2747264"/>
                </a:moveTo>
                <a:lnTo>
                  <a:pt x="365760" y="3082544"/>
                </a:lnTo>
                <a:lnTo>
                  <a:pt x="1869440" y="3082544"/>
                </a:lnTo>
                <a:lnTo>
                  <a:pt x="1869440" y="2747264"/>
                </a:lnTo>
                <a:close/>
                <a:moveTo>
                  <a:pt x="3616960" y="2743200"/>
                </a:moveTo>
                <a:lnTo>
                  <a:pt x="3616960" y="3078480"/>
                </a:lnTo>
                <a:lnTo>
                  <a:pt x="5120640" y="3078480"/>
                </a:lnTo>
                <a:lnTo>
                  <a:pt x="5120640" y="2743200"/>
                </a:lnTo>
                <a:close/>
                <a:moveTo>
                  <a:pt x="1991360" y="2391664"/>
                </a:moveTo>
                <a:lnTo>
                  <a:pt x="1991360" y="2726944"/>
                </a:lnTo>
                <a:lnTo>
                  <a:pt x="3495040" y="2726944"/>
                </a:lnTo>
                <a:lnTo>
                  <a:pt x="3495040" y="2391664"/>
                </a:lnTo>
                <a:close/>
                <a:moveTo>
                  <a:pt x="3616960" y="2387600"/>
                </a:moveTo>
                <a:lnTo>
                  <a:pt x="3616960" y="2722880"/>
                </a:lnTo>
                <a:lnTo>
                  <a:pt x="5120640" y="2722880"/>
                </a:lnTo>
                <a:lnTo>
                  <a:pt x="5120640" y="2387600"/>
                </a:lnTo>
                <a:close/>
                <a:moveTo>
                  <a:pt x="1991360" y="2036064"/>
                </a:moveTo>
                <a:lnTo>
                  <a:pt x="1991360" y="2371344"/>
                </a:lnTo>
                <a:lnTo>
                  <a:pt x="3495040" y="2371344"/>
                </a:lnTo>
                <a:lnTo>
                  <a:pt x="3495040" y="2036064"/>
                </a:lnTo>
                <a:close/>
                <a:moveTo>
                  <a:pt x="1991360" y="1680464"/>
                </a:moveTo>
                <a:lnTo>
                  <a:pt x="1991360" y="2015744"/>
                </a:lnTo>
                <a:lnTo>
                  <a:pt x="3495040" y="2015744"/>
                </a:lnTo>
                <a:lnTo>
                  <a:pt x="3495040" y="1680464"/>
                </a:lnTo>
                <a:close/>
                <a:moveTo>
                  <a:pt x="0" y="0"/>
                </a:moveTo>
                <a:lnTo>
                  <a:pt x="5486400" y="0"/>
                </a:lnTo>
                <a:lnTo>
                  <a:pt x="5486400" y="5486400"/>
                </a:lnTo>
                <a:lnTo>
                  <a:pt x="0" y="5486400"/>
                </a:lnTo>
                <a:close/>
              </a:path>
            </a:pathLst>
          </a:custGeom>
          <a:solidFill>
            <a:schemeClr val="accent2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rot="0" spcFirstLastPara="0" vert="horz" wrap="square" lIns="0" tIns="45720" rIns="0" bIns="0" numCol="1" spcCol="0" rtlCol="0" fromWordArt="0" anchor="b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700" b="0">
                <a:latin typeface="+mn-lt"/>
                <a:ea typeface="Roboto Medium" panose="02000000000000000000" pitchFamily="2" charset="0"/>
              </a:rPr>
              <a:t>SKYLINE</a:t>
            </a:r>
          </a:p>
        </xdr:txBody>
      </xdr:sp>
      <xdr:sp macro="" textlink="">
        <xdr:nvSpPr>
          <xdr:cNvPr id="11" name="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/>
          </xdr:cNvSpPr>
        </xdr:nvSpPr>
        <xdr:spPr>
          <a:xfrm>
            <a:off x="662196" y="-152400"/>
            <a:ext cx="193993" cy="533400"/>
          </a:xfrm>
          <a:custGeom>
            <a:avLst/>
            <a:gdLst>
              <a:gd name="connsiteX0" fmla="*/ 2362953 w 5486400"/>
              <a:gd name="connsiteY0" fmla="*/ 3227612 h 5486400"/>
              <a:gd name="connsiteX1" fmla="*/ 2410419 w 5486400"/>
              <a:gd name="connsiteY1" fmla="*/ 3234548 h 5486400"/>
              <a:gd name="connsiteX2" fmla="*/ 2564304 w 5486400"/>
              <a:gd name="connsiteY2" fmla="*/ 3345605 h 5486400"/>
              <a:gd name="connsiteX3" fmla="*/ 2478725 w 5486400"/>
              <a:gd name="connsiteY3" fmla="*/ 3680329 h 5486400"/>
              <a:gd name="connsiteX4" fmla="*/ 2135495 w 5486400"/>
              <a:gd name="connsiteY4" fmla="*/ 3596873 h 5486400"/>
              <a:gd name="connsiteX5" fmla="*/ 2221072 w 5486400"/>
              <a:gd name="connsiteY5" fmla="*/ 3262148 h 5486400"/>
              <a:gd name="connsiteX6" fmla="*/ 2314657 w 5486400"/>
              <a:gd name="connsiteY6" fmla="*/ 3229670 h 5486400"/>
              <a:gd name="connsiteX7" fmla="*/ 2362953 w 5486400"/>
              <a:gd name="connsiteY7" fmla="*/ 3227612 h 5486400"/>
              <a:gd name="connsiteX8" fmla="*/ 2407963 w 5486400"/>
              <a:gd name="connsiteY8" fmla="*/ 2922028 h 5486400"/>
              <a:gd name="connsiteX9" fmla="*/ 2371359 w 5486400"/>
              <a:gd name="connsiteY9" fmla="*/ 3065212 h 5486400"/>
              <a:gd name="connsiteX10" fmla="*/ 2291150 w 5486400"/>
              <a:gd name="connsiteY10" fmla="*/ 3068633 h 5486400"/>
              <a:gd name="connsiteX11" fmla="*/ 2211565 w 5486400"/>
              <a:gd name="connsiteY11" fmla="*/ 3087635 h 5486400"/>
              <a:gd name="connsiteX12" fmla="*/ 2207830 w 5486400"/>
              <a:gd name="connsiteY12" fmla="*/ 3089355 h 5486400"/>
              <a:gd name="connsiteX13" fmla="*/ 2129719 w 5486400"/>
              <a:gd name="connsiteY13" fmla="*/ 2962585 h 5486400"/>
              <a:gd name="connsiteX14" fmla="*/ 1992747 w 5486400"/>
              <a:gd name="connsiteY14" fmla="*/ 3042858 h 5486400"/>
              <a:gd name="connsiteX15" fmla="*/ 2073963 w 5486400"/>
              <a:gd name="connsiteY15" fmla="*/ 3174673 h 5486400"/>
              <a:gd name="connsiteX16" fmla="*/ 2025348 w 5486400"/>
              <a:gd name="connsiteY16" fmla="*/ 3215896 h 5486400"/>
              <a:gd name="connsiteX17" fmla="*/ 1972839 w 5486400"/>
              <a:gd name="connsiteY17" fmla="*/ 3299248 h 5486400"/>
              <a:gd name="connsiteX18" fmla="*/ 1825397 w 5486400"/>
              <a:gd name="connsiteY18" fmla="*/ 3263394 h 5486400"/>
              <a:gd name="connsiteX19" fmla="*/ 1786741 w 5486400"/>
              <a:gd name="connsiteY19" fmla="*/ 3414614 h 5486400"/>
              <a:gd name="connsiteX20" fmla="*/ 1936811 w 5486400"/>
              <a:gd name="connsiteY20" fmla="*/ 3451101 h 5486400"/>
              <a:gd name="connsiteX21" fmla="*/ 1934274 w 5486400"/>
              <a:gd name="connsiteY21" fmla="*/ 3503984 h 5486400"/>
              <a:gd name="connsiteX22" fmla="*/ 1956548 w 5486400"/>
              <a:gd name="connsiteY22" fmla="*/ 3606146 h 5486400"/>
              <a:gd name="connsiteX23" fmla="*/ 1958310 w 5486400"/>
              <a:gd name="connsiteY23" fmla="*/ 3609787 h 5486400"/>
              <a:gd name="connsiteX24" fmla="*/ 1828329 w 5486400"/>
              <a:gd name="connsiteY24" fmla="*/ 3685953 h 5486400"/>
              <a:gd name="connsiteX25" fmla="*/ 1910632 w 5486400"/>
              <a:gd name="connsiteY25" fmla="*/ 3819539 h 5486400"/>
              <a:gd name="connsiteX26" fmla="*/ 2040614 w 5486400"/>
              <a:gd name="connsiteY26" fmla="*/ 3743373 h 5486400"/>
              <a:gd name="connsiteX27" fmla="*/ 2043088 w 5486400"/>
              <a:gd name="connsiteY27" fmla="*/ 3746609 h 5486400"/>
              <a:gd name="connsiteX28" fmla="*/ 2104216 w 5486400"/>
              <a:gd name="connsiteY28" fmla="*/ 3799818 h 5486400"/>
              <a:gd name="connsiteX29" fmla="*/ 2173376 w 5486400"/>
              <a:gd name="connsiteY29" fmla="*/ 3839568 h 5486400"/>
              <a:gd name="connsiteX30" fmla="*/ 2136771 w 5486400"/>
              <a:gd name="connsiteY30" fmla="*/ 3982744 h 5486400"/>
              <a:gd name="connsiteX31" fmla="*/ 2291835 w 5486400"/>
              <a:gd name="connsiteY31" fmla="*/ 4020441 h 5486400"/>
              <a:gd name="connsiteX32" fmla="*/ 2328439 w 5486400"/>
              <a:gd name="connsiteY32" fmla="*/ 3877266 h 5486400"/>
              <a:gd name="connsiteX33" fmla="*/ 2408647 w 5486400"/>
              <a:gd name="connsiteY33" fmla="*/ 3873844 h 5486400"/>
              <a:gd name="connsiteX34" fmla="*/ 2488234 w 5486400"/>
              <a:gd name="connsiteY34" fmla="*/ 3854842 h 5486400"/>
              <a:gd name="connsiteX35" fmla="*/ 2491976 w 5486400"/>
              <a:gd name="connsiteY35" fmla="*/ 3853123 h 5486400"/>
              <a:gd name="connsiteX36" fmla="*/ 2570078 w 5486400"/>
              <a:gd name="connsiteY36" fmla="*/ 3979883 h 5486400"/>
              <a:gd name="connsiteX37" fmla="*/ 2707059 w 5486400"/>
              <a:gd name="connsiteY37" fmla="*/ 3899619 h 5486400"/>
              <a:gd name="connsiteX38" fmla="*/ 2625836 w 5486400"/>
              <a:gd name="connsiteY38" fmla="*/ 3767797 h 5486400"/>
              <a:gd name="connsiteX39" fmla="*/ 2674449 w 5486400"/>
              <a:gd name="connsiteY39" fmla="*/ 3726580 h 5486400"/>
              <a:gd name="connsiteX40" fmla="*/ 2726958 w 5486400"/>
              <a:gd name="connsiteY40" fmla="*/ 3643228 h 5486400"/>
              <a:gd name="connsiteX41" fmla="*/ 2874402 w 5486400"/>
              <a:gd name="connsiteY41" fmla="*/ 3679075 h 5486400"/>
              <a:gd name="connsiteX42" fmla="*/ 2913057 w 5486400"/>
              <a:gd name="connsiteY42" fmla="*/ 3527855 h 5486400"/>
              <a:gd name="connsiteX43" fmla="*/ 2762988 w 5486400"/>
              <a:gd name="connsiteY43" fmla="*/ 3491368 h 5486400"/>
              <a:gd name="connsiteX44" fmla="*/ 2765524 w 5486400"/>
              <a:gd name="connsiteY44" fmla="*/ 3438485 h 5486400"/>
              <a:gd name="connsiteX45" fmla="*/ 2743251 w 5486400"/>
              <a:gd name="connsiteY45" fmla="*/ 3336332 h 5486400"/>
              <a:gd name="connsiteX46" fmla="*/ 2741487 w 5486400"/>
              <a:gd name="connsiteY46" fmla="*/ 3332682 h 5486400"/>
              <a:gd name="connsiteX47" fmla="*/ 2871478 w 5486400"/>
              <a:gd name="connsiteY47" fmla="*/ 3256516 h 5486400"/>
              <a:gd name="connsiteX48" fmla="*/ 2789165 w 5486400"/>
              <a:gd name="connsiteY48" fmla="*/ 3122929 h 5486400"/>
              <a:gd name="connsiteX49" fmla="*/ 2659183 w 5486400"/>
              <a:gd name="connsiteY49" fmla="*/ 3199096 h 5486400"/>
              <a:gd name="connsiteX50" fmla="*/ 2656709 w 5486400"/>
              <a:gd name="connsiteY50" fmla="*/ 3195867 h 5486400"/>
              <a:gd name="connsiteX51" fmla="*/ 2595582 w 5486400"/>
              <a:gd name="connsiteY51" fmla="*/ 3142650 h 5486400"/>
              <a:gd name="connsiteX52" fmla="*/ 2526421 w 5486400"/>
              <a:gd name="connsiteY52" fmla="*/ 3102910 h 5486400"/>
              <a:gd name="connsiteX53" fmla="*/ 2563026 w 5486400"/>
              <a:gd name="connsiteY53" fmla="*/ 2959734 h 5486400"/>
              <a:gd name="connsiteX54" fmla="*/ 3595991 w 5486400"/>
              <a:gd name="connsiteY54" fmla="*/ 2309647 h 5486400"/>
              <a:gd name="connsiteX55" fmla="*/ 3922489 w 5486400"/>
              <a:gd name="connsiteY55" fmla="*/ 2461262 h 5486400"/>
              <a:gd name="connsiteX56" fmla="*/ 3810571 w 5486400"/>
              <a:gd name="connsiteY56" fmla="*/ 2899016 h 5486400"/>
              <a:gd name="connsiteX57" fmla="*/ 3361692 w 5486400"/>
              <a:gd name="connsiteY57" fmla="*/ 2789872 h 5486400"/>
              <a:gd name="connsiteX58" fmla="*/ 3473610 w 5486400"/>
              <a:gd name="connsiteY58" fmla="*/ 2352118 h 5486400"/>
              <a:gd name="connsiteX59" fmla="*/ 3595991 w 5486400"/>
              <a:gd name="connsiteY59" fmla="*/ 2309647 h 5486400"/>
              <a:gd name="connsiteX60" fmla="*/ 3718021 w 5486400"/>
              <a:gd name="connsiteY60" fmla="*/ 1907317 h 5486400"/>
              <a:gd name="connsiteX61" fmla="*/ 3670154 w 5486400"/>
              <a:gd name="connsiteY61" fmla="*/ 2094559 h 5486400"/>
              <a:gd name="connsiteX62" fmla="*/ 3565261 w 5486400"/>
              <a:gd name="connsiteY62" fmla="*/ 2099043 h 5486400"/>
              <a:gd name="connsiteX63" fmla="*/ 3461178 w 5486400"/>
              <a:gd name="connsiteY63" fmla="*/ 2123888 h 5486400"/>
              <a:gd name="connsiteX64" fmla="*/ 3456285 w 5486400"/>
              <a:gd name="connsiteY64" fmla="*/ 2126143 h 5486400"/>
              <a:gd name="connsiteX65" fmla="*/ 3354145 w 5486400"/>
              <a:gd name="connsiteY65" fmla="*/ 1960351 h 5486400"/>
              <a:gd name="connsiteX66" fmla="*/ 3175000 w 5486400"/>
              <a:gd name="connsiteY66" fmla="*/ 2065329 h 5486400"/>
              <a:gd name="connsiteX67" fmla="*/ 3281215 w 5486400"/>
              <a:gd name="connsiteY67" fmla="*/ 2237725 h 5486400"/>
              <a:gd name="connsiteX68" fmla="*/ 3217641 w 5486400"/>
              <a:gd name="connsiteY68" fmla="*/ 2291627 h 5486400"/>
              <a:gd name="connsiteX69" fmla="*/ 3148966 w 5486400"/>
              <a:gd name="connsiteY69" fmla="*/ 2400631 h 5486400"/>
              <a:gd name="connsiteX70" fmla="*/ 2956147 w 5486400"/>
              <a:gd name="connsiteY70" fmla="*/ 2353749 h 5486400"/>
              <a:gd name="connsiteX71" fmla="*/ 2905590 w 5486400"/>
              <a:gd name="connsiteY71" fmla="*/ 2551518 h 5486400"/>
              <a:gd name="connsiteX72" fmla="*/ 3101846 w 5486400"/>
              <a:gd name="connsiteY72" fmla="*/ 2599235 h 5486400"/>
              <a:gd name="connsiteX73" fmla="*/ 3098544 w 5486400"/>
              <a:gd name="connsiteY73" fmla="*/ 2668392 h 5486400"/>
              <a:gd name="connsiteX74" fmla="*/ 3127664 w 5486400"/>
              <a:gd name="connsiteY74" fmla="*/ 2801996 h 5486400"/>
              <a:gd name="connsiteX75" fmla="*/ 3129967 w 5486400"/>
              <a:gd name="connsiteY75" fmla="*/ 2806769 h 5486400"/>
              <a:gd name="connsiteX76" fmla="*/ 2959970 w 5486400"/>
              <a:gd name="connsiteY76" fmla="*/ 2906377 h 5486400"/>
              <a:gd name="connsiteX77" fmla="*/ 3067607 w 5486400"/>
              <a:gd name="connsiteY77" fmla="*/ 3081082 h 5486400"/>
              <a:gd name="connsiteX78" fmla="*/ 3237611 w 5486400"/>
              <a:gd name="connsiteY78" fmla="*/ 2981465 h 5486400"/>
              <a:gd name="connsiteX79" fmla="*/ 3240842 w 5486400"/>
              <a:gd name="connsiteY79" fmla="*/ 2985694 h 5486400"/>
              <a:gd name="connsiteX80" fmla="*/ 3320780 w 5486400"/>
              <a:gd name="connsiteY80" fmla="*/ 3055281 h 5486400"/>
              <a:gd name="connsiteX81" fmla="*/ 3411241 w 5486400"/>
              <a:gd name="connsiteY81" fmla="*/ 3107270 h 5486400"/>
              <a:gd name="connsiteX82" fmla="*/ 3363365 w 5486400"/>
              <a:gd name="connsiteY82" fmla="*/ 3294503 h 5486400"/>
              <a:gd name="connsiteX83" fmla="*/ 3566152 w 5486400"/>
              <a:gd name="connsiteY83" fmla="*/ 3343815 h 5486400"/>
              <a:gd name="connsiteX84" fmla="*/ 3614028 w 5486400"/>
              <a:gd name="connsiteY84" fmla="*/ 3156573 h 5486400"/>
              <a:gd name="connsiteX85" fmla="*/ 3718920 w 5486400"/>
              <a:gd name="connsiteY85" fmla="*/ 3152090 h 5486400"/>
              <a:gd name="connsiteX86" fmla="*/ 3823003 w 5486400"/>
              <a:gd name="connsiteY86" fmla="*/ 3127237 h 5486400"/>
              <a:gd name="connsiteX87" fmla="*/ 3827889 w 5486400"/>
              <a:gd name="connsiteY87" fmla="*/ 3124991 h 5486400"/>
              <a:gd name="connsiteX88" fmla="*/ 3930036 w 5486400"/>
              <a:gd name="connsiteY88" fmla="*/ 3290783 h 5486400"/>
              <a:gd name="connsiteX89" fmla="*/ 4109181 w 5486400"/>
              <a:gd name="connsiteY89" fmla="*/ 3185805 h 5486400"/>
              <a:gd name="connsiteX90" fmla="*/ 4002957 w 5486400"/>
              <a:gd name="connsiteY90" fmla="*/ 3013407 h 5486400"/>
              <a:gd name="connsiteX91" fmla="*/ 4066531 w 5486400"/>
              <a:gd name="connsiteY91" fmla="*/ 2959506 h 5486400"/>
              <a:gd name="connsiteX92" fmla="*/ 4135207 w 5486400"/>
              <a:gd name="connsiteY92" fmla="*/ 2850493 h 5486400"/>
              <a:gd name="connsiteX93" fmla="*/ 4328025 w 5486400"/>
              <a:gd name="connsiteY93" fmla="*/ 2897385 h 5486400"/>
              <a:gd name="connsiteX94" fmla="*/ 4378591 w 5486400"/>
              <a:gd name="connsiteY94" fmla="*/ 2699615 h 5486400"/>
              <a:gd name="connsiteX95" fmla="*/ 4182328 w 5486400"/>
              <a:gd name="connsiteY95" fmla="*/ 2651899 h 5486400"/>
              <a:gd name="connsiteX96" fmla="*/ 4185638 w 5486400"/>
              <a:gd name="connsiteY96" fmla="*/ 2582741 h 5486400"/>
              <a:gd name="connsiteX97" fmla="*/ 4156518 w 5486400"/>
              <a:gd name="connsiteY97" fmla="*/ 2449137 h 5486400"/>
              <a:gd name="connsiteX98" fmla="*/ 4154207 w 5486400"/>
              <a:gd name="connsiteY98" fmla="*/ 2444365 h 5486400"/>
              <a:gd name="connsiteX99" fmla="*/ 4324202 w 5486400"/>
              <a:gd name="connsiteY99" fmla="*/ 2344756 h 5486400"/>
              <a:gd name="connsiteX100" fmla="*/ 4216567 w 5486400"/>
              <a:gd name="connsiteY100" fmla="*/ 2170051 h 5486400"/>
              <a:gd name="connsiteX101" fmla="*/ 4046570 w 5486400"/>
              <a:gd name="connsiteY101" fmla="*/ 2269669 h 5486400"/>
              <a:gd name="connsiteX102" fmla="*/ 4043332 w 5486400"/>
              <a:gd name="connsiteY102" fmla="*/ 2265440 h 5486400"/>
              <a:gd name="connsiteX103" fmla="*/ 3963385 w 5486400"/>
              <a:gd name="connsiteY103" fmla="*/ 2195852 h 5486400"/>
              <a:gd name="connsiteX104" fmla="*/ 3872940 w 5486400"/>
              <a:gd name="connsiteY104" fmla="*/ 2143872 h 5486400"/>
              <a:gd name="connsiteX105" fmla="*/ 3920807 w 5486400"/>
              <a:gd name="connsiteY105" fmla="*/ 1956622 h 5486400"/>
              <a:gd name="connsiteX106" fmla="*/ 2117700 w 5486400"/>
              <a:gd name="connsiteY106" fmla="*/ 1296183 h 5486400"/>
              <a:gd name="connsiteX107" fmla="*/ 2567577 w 5486400"/>
              <a:gd name="connsiteY107" fmla="*/ 1544774 h 5486400"/>
              <a:gd name="connsiteX108" fmla="*/ 2362345 w 5486400"/>
              <a:gd name="connsiteY108" fmla="*/ 2158041 h 5486400"/>
              <a:gd name="connsiteX109" fmla="*/ 1733494 w 5486400"/>
              <a:gd name="connsiteY109" fmla="*/ 1957886 h 5486400"/>
              <a:gd name="connsiteX110" fmla="*/ 1938735 w 5486400"/>
              <a:gd name="connsiteY110" fmla="*/ 1344627 h 5486400"/>
              <a:gd name="connsiteX111" fmla="*/ 2117700 w 5486400"/>
              <a:gd name="connsiteY111" fmla="*/ 1296183 h 5486400"/>
              <a:gd name="connsiteX112" fmla="*/ 2333675 w 5486400"/>
              <a:gd name="connsiteY112" fmla="*/ 734440 h 5486400"/>
              <a:gd name="connsiteX113" fmla="*/ 2245884 w 5486400"/>
              <a:gd name="connsiteY113" fmla="*/ 996761 h 5486400"/>
              <a:gd name="connsiteX114" fmla="*/ 2095814 w 5486400"/>
              <a:gd name="connsiteY114" fmla="*/ 992760 h 5486400"/>
              <a:gd name="connsiteX115" fmla="*/ 1944782 w 5486400"/>
              <a:gd name="connsiteY115" fmla="*/ 1017878 h 5486400"/>
              <a:gd name="connsiteX116" fmla="*/ 1937566 w 5486400"/>
              <a:gd name="connsiteY116" fmla="*/ 1020606 h 5486400"/>
              <a:gd name="connsiteX117" fmla="*/ 1809159 w 5486400"/>
              <a:gd name="connsiteY117" fmla="*/ 774032 h 5486400"/>
              <a:gd name="connsiteX118" fmla="*/ 1542718 w 5486400"/>
              <a:gd name="connsiteY118" fmla="*/ 905995 h 5486400"/>
              <a:gd name="connsiteX119" fmla="*/ 1676244 w 5486400"/>
              <a:gd name="connsiteY119" fmla="*/ 1162403 h 5486400"/>
              <a:gd name="connsiteX120" fmla="*/ 1579960 w 5486400"/>
              <a:gd name="connsiteY120" fmla="*/ 1232991 h 5486400"/>
              <a:gd name="connsiteX121" fmla="*/ 1470651 w 5486400"/>
              <a:gd name="connsiteY121" fmla="*/ 1381659 h 5486400"/>
              <a:gd name="connsiteX122" fmla="*/ 1200522 w 5486400"/>
              <a:gd name="connsiteY122" fmla="*/ 1295682 h 5486400"/>
              <a:gd name="connsiteX123" fmla="*/ 1107809 w 5486400"/>
              <a:gd name="connsiteY123" fmla="*/ 1572734 h 5486400"/>
              <a:gd name="connsiteX124" fmla="*/ 1382761 w 5486400"/>
              <a:gd name="connsiteY124" fmla="*/ 1660243 h 5486400"/>
              <a:gd name="connsiteX125" fmla="*/ 1370824 w 5486400"/>
              <a:gd name="connsiteY125" fmla="*/ 1758554 h 5486400"/>
              <a:gd name="connsiteX126" fmla="*/ 1398450 w 5486400"/>
              <a:gd name="connsiteY126" fmla="*/ 1951990 h 5486400"/>
              <a:gd name="connsiteX127" fmla="*/ 1401239 w 5486400"/>
              <a:gd name="connsiteY127" fmla="*/ 1959026 h 5486400"/>
              <a:gd name="connsiteX128" fmla="*/ 1148399 w 5486400"/>
              <a:gd name="connsiteY128" fmla="*/ 2084252 h 5486400"/>
              <a:gd name="connsiteX129" fmla="*/ 1283725 w 5486400"/>
              <a:gd name="connsiteY129" fmla="*/ 2344098 h 5486400"/>
              <a:gd name="connsiteX130" fmla="*/ 1536564 w 5486400"/>
              <a:gd name="connsiteY130" fmla="*/ 2218856 h 5486400"/>
              <a:gd name="connsiteX131" fmla="*/ 1540739 w 5486400"/>
              <a:gd name="connsiteY131" fmla="*/ 2225207 h 5486400"/>
              <a:gd name="connsiteX132" fmla="*/ 1647502 w 5486400"/>
              <a:gd name="connsiteY132" fmla="*/ 2332387 h 5486400"/>
              <a:gd name="connsiteX133" fmla="*/ 1771097 w 5486400"/>
              <a:gd name="connsiteY133" fmla="*/ 2415484 h 5486400"/>
              <a:gd name="connsiteX134" fmla="*/ 1683314 w 5486400"/>
              <a:gd name="connsiteY134" fmla="*/ 2677806 h 5486400"/>
              <a:gd name="connsiteX135" fmla="*/ 1967397 w 5486400"/>
              <a:gd name="connsiteY135" fmla="*/ 2768220 h 5486400"/>
              <a:gd name="connsiteX136" fmla="*/ 2055188 w 5486400"/>
              <a:gd name="connsiteY136" fmla="*/ 2505907 h 5486400"/>
              <a:gd name="connsiteX137" fmla="*/ 2205258 w 5486400"/>
              <a:gd name="connsiteY137" fmla="*/ 2509908 h 5486400"/>
              <a:gd name="connsiteX138" fmla="*/ 2356299 w 5486400"/>
              <a:gd name="connsiteY138" fmla="*/ 2484782 h 5486400"/>
              <a:gd name="connsiteX139" fmla="*/ 2363505 w 5486400"/>
              <a:gd name="connsiteY139" fmla="*/ 2482063 h 5486400"/>
              <a:gd name="connsiteX140" fmla="*/ 2491922 w 5486400"/>
              <a:gd name="connsiteY140" fmla="*/ 2728637 h 5486400"/>
              <a:gd name="connsiteX141" fmla="*/ 2758363 w 5486400"/>
              <a:gd name="connsiteY141" fmla="*/ 2596664 h 5486400"/>
              <a:gd name="connsiteX142" fmla="*/ 2624828 w 5486400"/>
              <a:gd name="connsiteY142" fmla="*/ 2340265 h 5486400"/>
              <a:gd name="connsiteX143" fmla="*/ 2721120 w 5486400"/>
              <a:gd name="connsiteY143" fmla="*/ 2269669 h 5486400"/>
              <a:gd name="connsiteX144" fmla="*/ 2830430 w 5486400"/>
              <a:gd name="connsiteY144" fmla="*/ 2121002 h 5486400"/>
              <a:gd name="connsiteX145" fmla="*/ 3100550 w 5486400"/>
              <a:gd name="connsiteY145" fmla="*/ 2206977 h 5486400"/>
              <a:gd name="connsiteX146" fmla="*/ 3193271 w 5486400"/>
              <a:gd name="connsiteY146" fmla="*/ 1929925 h 5486400"/>
              <a:gd name="connsiteX147" fmla="*/ 2918319 w 5486400"/>
              <a:gd name="connsiteY147" fmla="*/ 1842415 h 5486400"/>
              <a:gd name="connsiteX148" fmla="*/ 2930249 w 5486400"/>
              <a:gd name="connsiteY148" fmla="*/ 1744105 h 5486400"/>
              <a:gd name="connsiteX149" fmla="*/ 2902630 w 5486400"/>
              <a:gd name="connsiteY149" fmla="*/ 1550669 h 5486400"/>
              <a:gd name="connsiteX150" fmla="*/ 2899833 w 5486400"/>
              <a:gd name="connsiteY150" fmla="*/ 1543642 h 5486400"/>
              <a:gd name="connsiteX151" fmla="*/ 3152672 w 5486400"/>
              <a:gd name="connsiteY151" fmla="*/ 1418409 h 5486400"/>
              <a:gd name="connsiteX152" fmla="*/ 3017355 w 5486400"/>
              <a:gd name="connsiteY152" fmla="*/ 1158570 h 5486400"/>
              <a:gd name="connsiteX153" fmla="*/ 2764517 w 5486400"/>
              <a:gd name="connsiteY153" fmla="*/ 1283804 h 5486400"/>
              <a:gd name="connsiteX154" fmla="*/ 2760334 w 5486400"/>
              <a:gd name="connsiteY154" fmla="*/ 1277452 h 5486400"/>
              <a:gd name="connsiteX155" fmla="*/ 2653578 w 5486400"/>
              <a:gd name="connsiteY155" fmla="*/ 1170281 h 5486400"/>
              <a:gd name="connsiteX156" fmla="*/ 2529974 w 5486400"/>
              <a:gd name="connsiteY156" fmla="*/ 1087184 h 5486400"/>
              <a:gd name="connsiteX157" fmla="*/ 2617766 w 5486400"/>
              <a:gd name="connsiteY157" fmla="*/ 824863 h 5486400"/>
              <a:gd name="connsiteX158" fmla="*/ 0 w 5486400"/>
              <a:gd name="connsiteY158" fmla="*/ 0 h 5486400"/>
              <a:gd name="connsiteX159" fmla="*/ 5486400 w 5486400"/>
              <a:gd name="connsiteY159" fmla="*/ 0 h 5486400"/>
              <a:gd name="connsiteX160" fmla="*/ 5486400 w 5486400"/>
              <a:gd name="connsiteY160" fmla="*/ 5486400 h 5486400"/>
              <a:gd name="connsiteX161" fmla="*/ 0 w 5486400"/>
              <a:gd name="connsiteY161" fmla="*/ 5486400 h 5486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</a:cxnLst>
            <a:rect l="l" t="t" r="r" b="b"/>
            <a:pathLst>
              <a:path w="5486400" h="5486400">
                <a:moveTo>
                  <a:pt x="2362953" y="3227612"/>
                </a:moveTo>
                <a:cubicBezTo>
                  <a:pt x="2378990" y="3228444"/>
                  <a:pt x="2394888" y="3230776"/>
                  <a:pt x="2410419" y="3234548"/>
                </a:cubicBezTo>
                <a:cubicBezTo>
                  <a:pt x="2472527" y="3249646"/>
                  <a:pt x="2528724" y="3287861"/>
                  <a:pt x="2564304" y="3345605"/>
                </a:cubicBezTo>
                <a:cubicBezTo>
                  <a:pt x="2635452" y="3461075"/>
                  <a:pt x="2597138" y="3610945"/>
                  <a:pt x="2478725" y="3680329"/>
                </a:cubicBezTo>
                <a:cubicBezTo>
                  <a:pt x="2360321" y="3749715"/>
                  <a:pt x="2206643" y="3712351"/>
                  <a:pt x="2135495" y="3596873"/>
                </a:cubicBezTo>
                <a:cubicBezTo>
                  <a:pt x="2064345" y="3481394"/>
                  <a:pt x="2102659" y="3331533"/>
                  <a:pt x="2221072" y="3262148"/>
                </a:cubicBezTo>
                <a:cubicBezTo>
                  <a:pt x="2250678" y="3244794"/>
                  <a:pt x="2282479" y="3234127"/>
                  <a:pt x="2314657" y="3229670"/>
                </a:cubicBezTo>
                <a:cubicBezTo>
                  <a:pt x="2330742" y="3227446"/>
                  <a:pt x="2346917" y="3226779"/>
                  <a:pt x="2362953" y="3227612"/>
                </a:cubicBezTo>
                <a:close/>
                <a:moveTo>
                  <a:pt x="2407963" y="2922028"/>
                </a:moveTo>
                <a:lnTo>
                  <a:pt x="2371359" y="3065212"/>
                </a:lnTo>
                <a:lnTo>
                  <a:pt x="2291150" y="3068633"/>
                </a:lnTo>
                <a:cubicBezTo>
                  <a:pt x="2264343" y="3072344"/>
                  <a:pt x="2237688" y="3078643"/>
                  <a:pt x="2211565" y="3087635"/>
                </a:cubicBezTo>
                <a:lnTo>
                  <a:pt x="2207830" y="3089355"/>
                </a:lnTo>
                <a:lnTo>
                  <a:pt x="2129719" y="2962585"/>
                </a:lnTo>
                <a:lnTo>
                  <a:pt x="1992747" y="3042858"/>
                </a:lnTo>
                <a:lnTo>
                  <a:pt x="2073963" y="3174673"/>
                </a:lnTo>
                <a:lnTo>
                  <a:pt x="2025348" y="3215896"/>
                </a:lnTo>
                <a:lnTo>
                  <a:pt x="1972839" y="3299248"/>
                </a:lnTo>
                <a:lnTo>
                  <a:pt x="1825397" y="3263394"/>
                </a:lnTo>
                <a:lnTo>
                  <a:pt x="1786741" y="3414614"/>
                </a:lnTo>
                <a:lnTo>
                  <a:pt x="1936811" y="3451101"/>
                </a:lnTo>
                <a:lnTo>
                  <a:pt x="1934274" y="3503984"/>
                </a:lnTo>
                <a:cubicBezTo>
                  <a:pt x="1937099" y="3538374"/>
                  <a:pt x="1944449" y="3572703"/>
                  <a:pt x="1956548" y="3606146"/>
                </a:cubicBezTo>
                <a:lnTo>
                  <a:pt x="1958310" y="3609787"/>
                </a:lnTo>
                <a:lnTo>
                  <a:pt x="1828329" y="3685953"/>
                </a:lnTo>
                <a:lnTo>
                  <a:pt x="1910632" y="3819539"/>
                </a:lnTo>
                <a:lnTo>
                  <a:pt x="2040614" y="3743373"/>
                </a:lnTo>
                <a:lnTo>
                  <a:pt x="2043088" y="3746609"/>
                </a:lnTo>
                <a:cubicBezTo>
                  <a:pt x="2061827" y="3766507"/>
                  <a:pt x="2082329" y="3784273"/>
                  <a:pt x="2104216" y="3799818"/>
                </a:cubicBezTo>
                <a:lnTo>
                  <a:pt x="2173376" y="3839568"/>
                </a:lnTo>
                <a:lnTo>
                  <a:pt x="2136771" y="3982744"/>
                </a:lnTo>
                <a:lnTo>
                  <a:pt x="2291835" y="4020441"/>
                </a:lnTo>
                <a:lnTo>
                  <a:pt x="2328439" y="3877266"/>
                </a:lnTo>
                <a:lnTo>
                  <a:pt x="2408647" y="3873844"/>
                </a:lnTo>
                <a:cubicBezTo>
                  <a:pt x="2435454" y="3870133"/>
                  <a:pt x="2462110" y="3863834"/>
                  <a:pt x="2488234" y="3854842"/>
                </a:cubicBezTo>
                <a:lnTo>
                  <a:pt x="2491976" y="3853123"/>
                </a:lnTo>
                <a:lnTo>
                  <a:pt x="2570078" y="3979883"/>
                </a:lnTo>
                <a:lnTo>
                  <a:pt x="2707059" y="3899619"/>
                </a:lnTo>
                <a:lnTo>
                  <a:pt x="2625836" y="3767797"/>
                </a:lnTo>
                <a:lnTo>
                  <a:pt x="2674449" y="3726580"/>
                </a:lnTo>
                <a:lnTo>
                  <a:pt x="2726958" y="3643228"/>
                </a:lnTo>
                <a:lnTo>
                  <a:pt x="2874402" y="3679075"/>
                </a:lnTo>
                <a:lnTo>
                  <a:pt x="2913057" y="3527855"/>
                </a:lnTo>
                <a:lnTo>
                  <a:pt x="2762988" y="3491368"/>
                </a:lnTo>
                <a:lnTo>
                  <a:pt x="2765524" y="3438485"/>
                </a:lnTo>
                <a:cubicBezTo>
                  <a:pt x="2762699" y="3404104"/>
                  <a:pt x="2755350" y="3369765"/>
                  <a:pt x="2743251" y="3336332"/>
                </a:cubicBezTo>
                <a:lnTo>
                  <a:pt x="2741487" y="3332682"/>
                </a:lnTo>
                <a:lnTo>
                  <a:pt x="2871478" y="3256516"/>
                </a:lnTo>
                <a:lnTo>
                  <a:pt x="2789165" y="3122929"/>
                </a:lnTo>
                <a:lnTo>
                  <a:pt x="2659183" y="3199096"/>
                </a:lnTo>
                <a:lnTo>
                  <a:pt x="2656709" y="3195867"/>
                </a:lnTo>
                <a:cubicBezTo>
                  <a:pt x="2637971" y="3175971"/>
                  <a:pt x="2617470" y="3158205"/>
                  <a:pt x="2595582" y="3142650"/>
                </a:cubicBezTo>
                <a:lnTo>
                  <a:pt x="2526421" y="3102910"/>
                </a:lnTo>
                <a:lnTo>
                  <a:pt x="2563026" y="2959734"/>
                </a:lnTo>
                <a:close/>
                <a:moveTo>
                  <a:pt x="3595991" y="2309647"/>
                </a:moveTo>
                <a:cubicBezTo>
                  <a:pt x="3722204" y="2292197"/>
                  <a:pt x="3852699" y="2347993"/>
                  <a:pt x="3922489" y="2461262"/>
                </a:cubicBezTo>
                <a:cubicBezTo>
                  <a:pt x="4015535" y="2612280"/>
                  <a:pt x="3965427" y="2808277"/>
                  <a:pt x="3810571" y="2899016"/>
                </a:cubicBezTo>
                <a:cubicBezTo>
                  <a:pt x="3655706" y="2989756"/>
                  <a:pt x="3454738" y="2940890"/>
                  <a:pt x="3361692" y="2789872"/>
                </a:cubicBezTo>
                <a:cubicBezTo>
                  <a:pt x="3268648" y="2638853"/>
                  <a:pt x="3318756" y="2442856"/>
                  <a:pt x="3473610" y="2352118"/>
                </a:cubicBezTo>
                <a:cubicBezTo>
                  <a:pt x="3512320" y="2329430"/>
                  <a:pt x="3553918" y="2315472"/>
                  <a:pt x="3595991" y="2309647"/>
                </a:cubicBezTo>
                <a:close/>
                <a:moveTo>
                  <a:pt x="3718021" y="1907317"/>
                </a:moveTo>
                <a:lnTo>
                  <a:pt x="3670154" y="2094559"/>
                </a:lnTo>
                <a:lnTo>
                  <a:pt x="3565261" y="2099043"/>
                </a:lnTo>
                <a:cubicBezTo>
                  <a:pt x="3530204" y="2103895"/>
                  <a:pt x="3495336" y="2112132"/>
                  <a:pt x="3461178" y="2123888"/>
                </a:cubicBezTo>
                <a:lnTo>
                  <a:pt x="3456285" y="2126143"/>
                </a:lnTo>
                <a:lnTo>
                  <a:pt x="3354145" y="1960351"/>
                </a:lnTo>
                <a:lnTo>
                  <a:pt x="3175000" y="2065329"/>
                </a:lnTo>
                <a:lnTo>
                  <a:pt x="3281215" y="2237725"/>
                </a:lnTo>
                <a:lnTo>
                  <a:pt x="3217641" y="2291627"/>
                </a:lnTo>
                <a:lnTo>
                  <a:pt x="3148966" y="2400631"/>
                </a:lnTo>
                <a:lnTo>
                  <a:pt x="2956147" y="2353749"/>
                </a:lnTo>
                <a:lnTo>
                  <a:pt x="2905590" y="2551518"/>
                </a:lnTo>
                <a:lnTo>
                  <a:pt x="3101846" y="2599235"/>
                </a:lnTo>
                <a:lnTo>
                  <a:pt x="3098544" y="2668392"/>
                </a:lnTo>
                <a:cubicBezTo>
                  <a:pt x="3102232" y="2713362"/>
                  <a:pt x="3111839" y="2758272"/>
                  <a:pt x="3127664" y="2801996"/>
                </a:cubicBezTo>
                <a:lnTo>
                  <a:pt x="3129967" y="2806769"/>
                </a:lnTo>
                <a:lnTo>
                  <a:pt x="2959970" y="2906377"/>
                </a:lnTo>
                <a:lnTo>
                  <a:pt x="3067607" y="3081082"/>
                </a:lnTo>
                <a:lnTo>
                  <a:pt x="3237611" y="2981465"/>
                </a:lnTo>
                <a:lnTo>
                  <a:pt x="3240842" y="2985694"/>
                </a:lnTo>
                <a:cubicBezTo>
                  <a:pt x="3265346" y="3011714"/>
                  <a:pt x="3292164" y="3034954"/>
                  <a:pt x="3320780" y="3055281"/>
                </a:cubicBezTo>
                <a:lnTo>
                  <a:pt x="3411241" y="3107270"/>
                </a:lnTo>
                <a:lnTo>
                  <a:pt x="3363365" y="3294503"/>
                </a:lnTo>
                <a:lnTo>
                  <a:pt x="3566152" y="3343815"/>
                </a:lnTo>
                <a:lnTo>
                  <a:pt x="3614028" y="3156573"/>
                </a:lnTo>
                <a:lnTo>
                  <a:pt x="3718920" y="3152090"/>
                </a:lnTo>
                <a:cubicBezTo>
                  <a:pt x="3753978" y="3147248"/>
                  <a:pt x="3788837" y="3139002"/>
                  <a:pt x="3823003" y="3127237"/>
                </a:cubicBezTo>
                <a:lnTo>
                  <a:pt x="3827889" y="3124991"/>
                </a:lnTo>
                <a:lnTo>
                  <a:pt x="3930036" y="3290783"/>
                </a:lnTo>
                <a:lnTo>
                  <a:pt x="4109181" y="3185805"/>
                </a:lnTo>
                <a:lnTo>
                  <a:pt x="4002957" y="3013407"/>
                </a:lnTo>
                <a:lnTo>
                  <a:pt x="4066531" y="2959506"/>
                </a:lnTo>
                <a:lnTo>
                  <a:pt x="4135207" y="2850493"/>
                </a:lnTo>
                <a:lnTo>
                  <a:pt x="4328025" y="2897385"/>
                </a:lnTo>
                <a:lnTo>
                  <a:pt x="4378591" y="2699615"/>
                </a:lnTo>
                <a:lnTo>
                  <a:pt x="4182328" y="2651899"/>
                </a:lnTo>
                <a:lnTo>
                  <a:pt x="4185638" y="2582741"/>
                </a:lnTo>
                <a:cubicBezTo>
                  <a:pt x="4181950" y="2537772"/>
                  <a:pt x="4172333" y="2492862"/>
                  <a:pt x="4156518" y="2449137"/>
                </a:cubicBezTo>
                <a:lnTo>
                  <a:pt x="4154207" y="2444365"/>
                </a:lnTo>
                <a:lnTo>
                  <a:pt x="4324202" y="2344756"/>
                </a:lnTo>
                <a:lnTo>
                  <a:pt x="4216567" y="2170051"/>
                </a:lnTo>
                <a:lnTo>
                  <a:pt x="4046570" y="2269669"/>
                </a:lnTo>
                <a:lnTo>
                  <a:pt x="4043332" y="2265440"/>
                </a:lnTo>
                <a:cubicBezTo>
                  <a:pt x="4018835" y="2239419"/>
                  <a:pt x="3992010" y="2216180"/>
                  <a:pt x="3963385" y="2195852"/>
                </a:cubicBezTo>
                <a:lnTo>
                  <a:pt x="3872940" y="2143872"/>
                </a:lnTo>
                <a:lnTo>
                  <a:pt x="3920807" y="1956622"/>
                </a:lnTo>
                <a:close/>
                <a:moveTo>
                  <a:pt x="2117700" y="1296183"/>
                </a:moveTo>
                <a:cubicBezTo>
                  <a:pt x="2299545" y="1283787"/>
                  <a:pt x="2479850" y="1376315"/>
                  <a:pt x="2567577" y="1544774"/>
                </a:cubicBezTo>
                <a:cubicBezTo>
                  <a:pt x="2684561" y="1769389"/>
                  <a:pt x="2592667" y="2043957"/>
                  <a:pt x="2362345" y="2158041"/>
                </a:cubicBezTo>
                <a:cubicBezTo>
                  <a:pt x="2132022" y="2272116"/>
                  <a:pt x="1850477" y="2182500"/>
                  <a:pt x="1733494" y="1957886"/>
                </a:cubicBezTo>
                <a:cubicBezTo>
                  <a:pt x="1616520" y="1733270"/>
                  <a:pt x="1708413" y="1458703"/>
                  <a:pt x="1938735" y="1344627"/>
                </a:cubicBezTo>
                <a:cubicBezTo>
                  <a:pt x="1996310" y="1316106"/>
                  <a:pt x="2057095" y="1300315"/>
                  <a:pt x="2117700" y="1296183"/>
                </a:cubicBezTo>
                <a:close/>
                <a:moveTo>
                  <a:pt x="2333675" y="734440"/>
                </a:moveTo>
                <a:lnTo>
                  <a:pt x="2245884" y="996761"/>
                </a:lnTo>
                <a:lnTo>
                  <a:pt x="2095814" y="992760"/>
                </a:lnTo>
                <a:cubicBezTo>
                  <a:pt x="2045311" y="996199"/>
                  <a:pt x="1994726" y="1004498"/>
                  <a:pt x="1944782" y="1017878"/>
                </a:cubicBezTo>
                <a:lnTo>
                  <a:pt x="1937566" y="1020606"/>
                </a:lnTo>
                <a:lnTo>
                  <a:pt x="1809159" y="774032"/>
                </a:lnTo>
                <a:lnTo>
                  <a:pt x="1542718" y="905995"/>
                </a:lnTo>
                <a:lnTo>
                  <a:pt x="1676244" y="1162403"/>
                </a:lnTo>
                <a:lnTo>
                  <a:pt x="1579960" y="1232991"/>
                </a:lnTo>
                <a:lnTo>
                  <a:pt x="1470651" y="1381659"/>
                </a:lnTo>
                <a:lnTo>
                  <a:pt x="1200522" y="1295682"/>
                </a:lnTo>
                <a:lnTo>
                  <a:pt x="1107809" y="1572734"/>
                </a:lnTo>
                <a:lnTo>
                  <a:pt x="1382761" y="1660243"/>
                </a:lnTo>
                <a:lnTo>
                  <a:pt x="1370824" y="1758554"/>
                </a:lnTo>
                <a:cubicBezTo>
                  <a:pt x="1371408" y="1823063"/>
                  <a:pt x="1380440" y="1888052"/>
                  <a:pt x="1398450" y="1951990"/>
                </a:cubicBezTo>
                <a:lnTo>
                  <a:pt x="1401239" y="1959026"/>
                </a:lnTo>
                <a:lnTo>
                  <a:pt x="1148399" y="2084252"/>
                </a:lnTo>
                <a:lnTo>
                  <a:pt x="1283725" y="2344098"/>
                </a:lnTo>
                <a:lnTo>
                  <a:pt x="1536564" y="2218856"/>
                </a:lnTo>
                <a:lnTo>
                  <a:pt x="1540739" y="2225207"/>
                </a:lnTo>
                <a:cubicBezTo>
                  <a:pt x="1572971" y="2264747"/>
                  <a:pt x="1608793" y="2300550"/>
                  <a:pt x="1647502" y="2332387"/>
                </a:cubicBezTo>
                <a:lnTo>
                  <a:pt x="1771097" y="2415484"/>
                </a:lnTo>
                <a:lnTo>
                  <a:pt x="1683314" y="2677806"/>
                </a:lnTo>
                <a:lnTo>
                  <a:pt x="1967397" y="2768220"/>
                </a:lnTo>
                <a:lnTo>
                  <a:pt x="2055188" y="2505907"/>
                </a:lnTo>
                <a:lnTo>
                  <a:pt x="2205258" y="2509908"/>
                </a:lnTo>
                <a:cubicBezTo>
                  <a:pt x="2255761" y="2506469"/>
                  <a:pt x="2306345" y="2498161"/>
                  <a:pt x="2356299" y="2484782"/>
                </a:cubicBezTo>
                <a:lnTo>
                  <a:pt x="2363505" y="2482063"/>
                </a:lnTo>
                <a:lnTo>
                  <a:pt x="2491922" y="2728637"/>
                </a:lnTo>
                <a:lnTo>
                  <a:pt x="2758363" y="2596664"/>
                </a:lnTo>
                <a:lnTo>
                  <a:pt x="2624828" y="2340265"/>
                </a:lnTo>
                <a:lnTo>
                  <a:pt x="2721120" y="2269669"/>
                </a:lnTo>
                <a:lnTo>
                  <a:pt x="2830430" y="2121002"/>
                </a:lnTo>
                <a:lnTo>
                  <a:pt x="3100550" y="2206977"/>
                </a:lnTo>
                <a:lnTo>
                  <a:pt x="3193271" y="1929925"/>
                </a:lnTo>
                <a:lnTo>
                  <a:pt x="2918319" y="1842415"/>
                </a:lnTo>
                <a:lnTo>
                  <a:pt x="2930249" y="1744105"/>
                </a:lnTo>
                <a:cubicBezTo>
                  <a:pt x="2929672" y="1679598"/>
                  <a:pt x="2920640" y="1614607"/>
                  <a:pt x="2902630" y="1550669"/>
                </a:cubicBezTo>
                <a:lnTo>
                  <a:pt x="2899833" y="1543642"/>
                </a:lnTo>
                <a:lnTo>
                  <a:pt x="3152672" y="1418409"/>
                </a:lnTo>
                <a:lnTo>
                  <a:pt x="3017355" y="1158570"/>
                </a:lnTo>
                <a:lnTo>
                  <a:pt x="2764517" y="1283804"/>
                </a:lnTo>
                <a:lnTo>
                  <a:pt x="2760334" y="1277452"/>
                </a:lnTo>
                <a:cubicBezTo>
                  <a:pt x="2728101" y="1237912"/>
                  <a:pt x="2692279" y="1202118"/>
                  <a:pt x="2653578" y="1170281"/>
                </a:cubicBezTo>
                <a:lnTo>
                  <a:pt x="2529974" y="1087184"/>
                </a:lnTo>
                <a:lnTo>
                  <a:pt x="2617766" y="824863"/>
                </a:lnTo>
                <a:close/>
                <a:moveTo>
                  <a:pt x="0" y="0"/>
                </a:moveTo>
                <a:lnTo>
                  <a:pt x="5486400" y="0"/>
                </a:lnTo>
                <a:lnTo>
                  <a:pt x="5486400" y="5486400"/>
                </a:lnTo>
                <a:lnTo>
                  <a:pt x="0" y="5486400"/>
                </a:lnTo>
                <a:close/>
              </a:path>
            </a:pathLst>
          </a:custGeom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="horz" wrap="square" lIns="0" tIns="45720" rIns="0" bIns="0" numCol="1" spcCol="0" rtlCol="0" fromWordArt="0" anchor="b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700" b="0">
                <a:latin typeface="+mn-lt"/>
                <a:ea typeface="Roboto Medium" panose="02000000000000000000" pitchFamily="2" charset="0"/>
              </a:rPr>
              <a:t>SYSTEM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495300</xdr:rowOff>
        </xdr:from>
        <xdr:to>
          <xdr:col>16</xdr:col>
          <xdr:colOff>485775</xdr:colOff>
          <xdr:row>1</xdr:row>
          <xdr:rowOff>85725</xdr:rowOff>
        </xdr:to>
        <xdr:sp macro="" textlink="">
          <xdr:nvSpPr>
            <xdr:cNvPr id="1027" name="check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137765</xdr:colOff>
      <xdr:row>0</xdr:row>
      <xdr:rowOff>518160</xdr:rowOff>
    </xdr:from>
    <xdr:to>
      <xdr:col>17</xdr:col>
      <xdr:colOff>274320</xdr:colOff>
      <xdr:row>1</xdr:row>
      <xdr:rowOff>81280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8255605" y="518160"/>
          <a:ext cx="1934875" cy="1828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100"/>
            <a:t>Show</a:t>
          </a:r>
          <a:r>
            <a:rPr lang="en-US" sz="1100" baseline="0"/>
            <a:t> Completed  Package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450849</xdr:colOff>
      <xdr:row>0</xdr:row>
      <xdr:rowOff>533400</xdr:rowOff>
    </xdr:to>
    <xdr:grpSp>
      <xdr:nvGrpSpPr>
        <xdr:cNvPr id="6" name="tool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0" y="0"/>
          <a:ext cx="1728320" cy="533400"/>
          <a:chOff x="0" y="0"/>
          <a:chExt cx="951711" cy="533400"/>
        </a:xfrm>
      </xdr:grpSpPr>
      <xdr:sp macro="" textlink="">
        <xdr:nvSpPr>
          <xdr:cNvPr id="3" name="Freefor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/>
          </xdr:cNvSpPr>
        </xdr:nvSpPr>
        <xdr:spPr>
          <a:xfrm>
            <a:off x="0" y="0"/>
            <a:ext cx="293911" cy="533400"/>
          </a:xfrm>
          <a:custGeom>
            <a:avLst/>
            <a:gdLst>
              <a:gd name="connsiteX0" fmla="*/ 3616960 w 5486400"/>
              <a:gd name="connsiteY0" fmla="*/ 3458464 h 5486400"/>
              <a:gd name="connsiteX1" fmla="*/ 3616960 w 5486400"/>
              <a:gd name="connsiteY1" fmla="*/ 3793744 h 5486400"/>
              <a:gd name="connsiteX2" fmla="*/ 5120640 w 5486400"/>
              <a:gd name="connsiteY2" fmla="*/ 3793744 h 5486400"/>
              <a:gd name="connsiteX3" fmla="*/ 5120640 w 5486400"/>
              <a:gd name="connsiteY3" fmla="*/ 3458464 h 5486400"/>
              <a:gd name="connsiteX4" fmla="*/ 1991360 w 5486400"/>
              <a:gd name="connsiteY4" fmla="*/ 3458464 h 5486400"/>
              <a:gd name="connsiteX5" fmla="*/ 1991360 w 5486400"/>
              <a:gd name="connsiteY5" fmla="*/ 3793744 h 5486400"/>
              <a:gd name="connsiteX6" fmla="*/ 3495040 w 5486400"/>
              <a:gd name="connsiteY6" fmla="*/ 3793744 h 5486400"/>
              <a:gd name="connsiteX7" fmla="*/ 3495040 w 5486400"/>
              <a:gd name="connsiteY7" fmla="*/ 3458464 h 5486400"/>
              <a:gd name="connsiteX8" fmla="*/ 365760 w 5486400"/>
              <a:gd name="connsiteY8" fmla="*/ 3458464 h 5486400"/>
              <a:gd name="connsiteX9" fmla="*/ 365760 w 5486400"/>
              <a:gd name="connsiteY9" fmla="*/ 3793744 h 5486400"/>
              <a:gd name="connsiteX10" fmla="*/ 1869440 w 5486400"/>
              <a:gd name="connsiteY10" fmla="*/ 3793744 h 5486400"/>
              <a:gd name="connsiteX11" fmla="*/ 1869440 w 5486400"/>
              <a:gd name="connsiteY11" fmla="*/ 3458464 h 5486400"/>
              <a:gd name="connsiteX12" fmla="*/ 1991360 w 5486400"/>
              <a:gd name="connsiteY12" fmla="*/ 3102864 h 5486400"/>
              <a:gd name="connsiteX13" fmla="*/ 1991360 w 5486400"/>
              <a:gd name="connsiteY13" fmla="*/ 3438144 h 5486400"/>
              <a:gd name="connsiteX14" fmla="*/ 3495040 w 5486400"/>
              <a:gd name="connsiteY14" fmla="*/ 3438144 h 5486400"/>
              <a:gd name="connsiteX15" fmla="*/ 3495040 w 5486400"/>
              <a:gd name="connsiteY15" fmla="*/ 3102864 h 5486400"/>
              <a:gd name="connsiteX16" fmla="*/ 365760 w 5486400"/>
              <a:gd name="connsiteY16" fmla="*/ 3102864 h 5486400"/>
              <a:gd name="connsiteX17" fmla="*/ 365760 w 5486400"/>
              <a:gd name="connsiteY17" fmla="*/ 3438144 h 5486400"/>
              <a:gd name="connsiteX18" fmla="*/ 1869440 w 5486400"/>
              <a:gd name="connsiteY18" fmla="*/ 3438144 h 5486400"/>
              <a:gd name="connsiteX19" fmla="*/ 1869440 w 5486400"/>
              <a:gd name="connsiteY19" fmla="*/ 3102864 h 5486400"/>
              <a:gd name="connsiteX20" fmla="*/ 3616960 w 5486400"/>
              <a:gd name="connsiteY20" fmla="*/ 3098800 h 5486400"/>
              <a:gd name="connsiteX21" fmla="*/ 3616960 w 5486400"/>
              <a:gd name="connsiteY21" fmla="*/ 3434080 h 5486400"/>
              <a:gd name="connsiteX22" fmla="*/ 5120640 w 5486400"/>
              <a:gd name="connsiteY22" fmla="*/ 3434080 h 5486400"/>
              <a:gd name="connsiteX23" fmla="*/ 5120640 w 5486400"/>
              <a:gd name="connsiteY23" fmla="*/ 3098800 h 5486400"/>
              <a:gd name="connsiteX24" fmla="*/ 1991360 w 5486400"/>
              <a:gd name="connsiteY24" fmla="*/ 2747264 h 5486400"/>
              <a:gd name="connsiteX25" fmla="*/ 1991360 w 5486400"/>
              <a:gd name="connsiteY25" fmla="*/ 3082544 h 5486400"/>
              <a:gd name="connsiteX26" fmla="*/ 3495040 w 5486400"/>
              <a:gd name="connsiteY26" fmla="*/ 3082544 h 5486400"/>
              <a:gd name="connsiteX27" fmla="*/ 3495040 w 5486400"/>
              <a:gd name="connsiteY27" fmla="*/ 2747264 h 5486400"/>
              <a:gd name="connsiteX28" fmla="*/ 365760 w 5486400"/>
              <a:gd name="connsiteY28" fmla="*/ 2747264 h 5486400"/>
              <a:gd name="connsiteX29" fmla="*/ 365760 w 5486400"/>
              <a:gd name="connsiteY29" fmla="*/ 3082544 h 5486400"/>
              <a:gd name="connsiteX30" fmla="*/ 1869440 w 5486400"/>
              <a:gd name="connsiteY30" fmla="*/ 3082544 h 5486400"/>
              <a:gd name="connsiteX31" fmla="*/ 1869440 w 5486400"/>
              <a:gd name="connsiteY31" fmla="*/ 2747264 h 5486400"/>
              <a:gd name="connsiteX32" fmla="*/ 3616960 w 5486400"/>
              <a:gd name="connsiteY32" fmla="*/ 2743200 h 5486400"/>
              <a:gd name="connsiteX33" fmla="*/ 3616960 w 5486400"/>
              <a:gd name="connsiteY33" fmla="*/ 3078480 h 5486400"/>
              <a:gd name="connsiteX34" fmla="*/ 5120640 w 5486400"/>
              <a:gd name="connsiteY34" fmla="*/ 3078480 h 5486400"/>
              <a:gd name="connsiteX35" fmla="*/ 5120640 w 5486400"/>
              <a:gd name="connsiteY35" fmla="*/ 2743200 h 5486400"/>
              <a:gd name="connsiteX36" fmla="*/ 1991360 w 5486400"/>
              <a:gd name="connsiteY36" fmla="*/ 2391664 h 5486400"/>
              <a:gd name="connsiteX37" fmla="*/ 1991360 w 5486400"/>
              <a:gd name="connsiteY37" fmla="*/ 2726944 h 5486400"/>
              <a:gd name="connsiteX38" fmla="*/ 3495040 w 5486400"/>
              <a:gd name="connsiteY38" fmla="*/ 2726944 h 5486400"/>
              <a:gd name="connsiteX39" fmla="*/ 3495040 w 5486400"/>
              <a:gd name="connsiteY39" fmla="*/ 2391664 h 5486400"/>
              <a:gd name="connsiteX40" fmla="*/ 3616960 w 5486400"/>
              <a:gd name="connsiteY40" fmla="*/ 2387600 h 5486400"/>
              <a:gd name="connsiteX41" fmla="*/ 3616960 w 5486400"/>
              <a:gd name="connsiteY41" fmla="*/ 2722880 h 5486400"/>
              <a:gd name="connsiteX42" fmla="*/ 5120640 w 5486400"/>
              <a:gd name="connsiteY42" fmla="*/ 2722880 h 5486400"/>
              <a:gd name="connsiteX43" fmla="*/ 5120640 w 5486400"/>
              <a:gd name="connsiteY43" fmla="*/ 2387600 h 5486400"/>
              <a:gd name="connsiteX44" fmla="*/ 1991360 w 5486400"/>
              <a:gd name="connsiteY44" fmla="*/ 2036064 h 5486400"/>
              <a:gd name="connsiteX45" fmla="*/ 1991360 w 5486400"/>
              <a:gd name="connsiteY45" fmla="*/ 2371344 h 5486400"/>
              <a:gd name="connsiteX46" fmla="*/ 3495040 w 5486400"/>
              <a:gd name="connsiteY46" fmla="*/ 2371344 h 5486400"/>
              <a:gd name="connsiteX47" fmla="*/ 3495040 w 5486400"/>
              <a:gd name="connsiteY47" fmla="*/ 2036064 h 5486400"/>
              <a:gd name="connsiteX48" fmla="*/ 1991360 w 5486400"/>
              <a:gd name="connsiteY48" fmla="*/ 1680464 h 5486400"/>
              <a:gd name="connsiteX49" fmla="*/ 1991360 w 5486400"/>
              <a:gd name="connsiteY49" fmla="*/ 2015744 h 5486400"/>
              <a:gd name="connsiteX50" fmla="*/ 3495040 w 5486400"/>
              <a:gd name="connsiteY50" fmla="*/ 2015744 h 5486400"/>
              <a:gd name="connsiteX51" fmla="*/ 3495040 w 5486400"/>
              <a:gd name="connsiteY51" fmla="*/ 1680464 h 5486400"/>
              <a:gd name="connsiteX52" fmla="*/ 0 w 5486400"/>
              <a:gd name="connsiteY52" fmla="*/ 0 h 5486400"/>
              <a:gd name="connsiteX53" fmla="*/ 5486400 w 5486400"/>
              <a:gd name="connsiteY53" fmla="*/ 0 h 5486400"/>
              <a:gd name="connsiteX54" fmla="*/ 5486400 w 5486400"/>
              <a:gd name="connsiteY54" fmla="*/ 5486400 h 5486400"/>
              <a:gd name="connsiteX55" fmla="*/ 0 w 5486400"/>
              <a:gd name="connsiteY55" fmla="*/ 5486400 h 5486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5486400" h="5486400">
                <a:moveTo>
                  <a:pt x="3616960" y="3458464"/>
                </a:moveTo>
                <a:lnTo>
                  <a:pt x="3616960" y="3793744"/>
                </a:lnTo>
                <a:lnTo>
                  <a:pt x="5120640" y="3793744"/>
                </a:lnTo>
                <a:lnTo>
                  <a:pt x="5120640" y="3458464"/>
                </a:lnTo>
                <a:close/>
                <a:moveTo>
                  <a:pt x="1991360" y="3458464"/>
                </a:moveTo>
                <a:lnTo>
                  <a:pt x="1991360" y="3793744"/>
                </a:lnTo>
                <a:lnTo>
                  <a:pt x="3495040" y="3793744"/>
                </a:lnTo>
                <a:lnTo>
                  <a:pt x="3495040" y="3458464"/>
                </a:lnTo>
                <a:close/>
                <a:moveTo>
                  <a:pt x="365760" y="3458464"/>
                </a:moveTo>
                <a:lnTo>
                  <a:pt x="365760" y="3793744"/>
                </a:lnTo>
                <a:lnTo>
                  <a:pt x="1869440" y="3793744"/>
                </a:lnTo>
                <a:lnTo>
                  <a:pt x="1869440" y="3458464"/>
                </a:lnTo>
                <a:close/>
                <a:moveTo>
                  <a:pt x="1991360" y="3102864"/>
                </a:moveTo>
                <a:lnTo>
                  <a:pt x="1991360" y="3438144"/>
                </a:lnTo>
                <a:lnTo>
                  <a:pt x="3495040" y="3438144"/>
                </a:lnTo>
                <a:lnTo>
                  <a:pt x="3495040" y="3102864"/>
                </a:lnTo>
                <a:close/>
                <a:moveTo>
                  <a:pt x="365760" y="3102864"/>
                </a:moveTo>
                <a:lnTo>
                  <a:pt x="365760" y="3438144"/>
                </a:lnTo>
                <a:lnTo>
                  <a:pt x="1869440" y="3438144"/>
                </a:lnTo>
                <a:lnTo>
                  <a:pt x="1869440" y="3102864"/>
                </a:lnTo>
                <a:close/>
                <a:moveTo>
                  <a:pt x="3616960" y="3098800"/>
                </a:moveTo>
                <a:lnTo>
                  <a:pt x="3616960" y="3434080"/>
                </a:lnTo>
                <a:lnTo>
                  <a:pt x="5120640" y="3434080"/>
                </a:lnTo>
                <a:lnTo>
                  <a:pt x="5120640" y="3098800"/>
                </a:lnTo>
                <a:close/>
                <a:moveTo>
                  <a:pt x="1991360" y="2747264"/>
                </a:moveTo>
                <a:lnTo>
                  <a:pt x="1991360" y="3082544"/>
                </a:lnTo>
                <a:lnTo>
                  <a:pt x="3495040" y="3082544"/>
                </a:lnTo>
                <a:lnTo>
                  <a:pt x="3495040" y="2747264"/>
                </a:lnTo>
                <a:close/>
                <a:moveTo>
                  <a:pt x="365760" y="2747264"/>
                </a:moveTo>
                <a:lnTo>
                  <a:pt x="365760" y="3082544"/>
                </a:lnTo>
                <a:lnTo>
                  <a:pt x="1869440" y="3082544"/>
                </a:lnTo>
                <a:lnTo>
                  <a:pt x="1869440" y="2747264"/>
                </a:lnTo>
                <a:close/>
                <a:moveTo>
                  <a:pt x="3616960" y="2743200"/>
                </a:moveTo>
                <a:lnTo>
                  <a:pt x="3616960" y="3078480"/>
                </a:lnTo>
                <a:lnTo>
                  <a:pt x="5120640" y="3078480"/>
                </a:lnTo>
                <a:lnTo>
                  <a:pt x="5120640" y="2743200"/>
                </a:lnTo>
                <a:close/>
                <a:moveTo>
                  <a:pt x="1991360" y="2391664"/>
                </a:moveTo>
                <a:lnTo>
                  <a:pt x="1991360" y="2726944"/>
                </a:lnTo>
                <a:lnTo>
                  <a:pt x="3495040" y="2726944"/>
                </a:lnTo>
                <a:lnTo>
                  <a:pt x="3495040" y="2391664"/>
                </a:lnTo>
                <a:close/>
                <a:moveTo>
                  <a:pt x="3616960" y="2387600"/>
                </a:moveTo>
                <a:lnTo>
                  <a:pt x="3616960" y="2722880"/>
                </a:lnTo>
                <a:lnTo>
                  <a:pt x="5120640" y="2722880"/>
                </a:lnTo>
                <a:lnTo>
                  <a:pt x="5120640" y="2387600"/>
                </a:lnTo>
                <a:close/>
                <a:moveTo>
                  <a:pt x="1991360" y="2036064"/>
                </a:moveTo>
                <a:lnTo>
                  <a:pt x="1991360" y="2371344"/>
                </a:lnTo>
                <a:lnTo>
                  <a:pt x="3495040" y="2371344"/>
                </a:lnTo>
                <a:lnTo>
                  <a:pt x="3495040" y="2036064"/>
                </a:lnTo>
                <a:close/>
                <a:moveTo>
                  <a:pt x="1991360" y="1680464"/>
                </a:moveTo>
                <a:lnTo>
                  <a:pt x="1991360" y="2015744"/>
                </a:lnTo>
                <a:lnTo>
                  <a:pt x="3495040" y="2015744"/>
                </a:lnTo>
                <a:lnTo>
                  <a:pt x="3495040" y="1680464"/>
                </a:lnTo>
                <a:close/>
                <a:moveTo>
                  <a:pt x="0" y="0"/>
                </a:moveTo>
                <a:lnTo>
                  <a:pt x="5486400" y="0"/>
                </a:lnTo>
                <a:lnTo>
                  <a:pt x="5486400" y="5486400"/>
                </a:lnTo>
                <a:lnTo>
                  <a:pt x="0" y="5486400"/>
                </a:lnTo>
                <a:close/>
              </a:path>
            </a:pathLst>
          </a:custGeom>
          <a:solidFill>
            <a:schemeClr val="dk1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rot="0" spcFirstLastPara="0" vert="horz" wrap="square" lIns="0" tIns="45720" rIns="0" bIns="0" numCol="1" spcCol="0" rtlCol="0" fromWordArt="0" anchor="b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700" b="0">
                <a:latin typeface="+mn-lt"/>
                <a:ea typeface="Roboto Medium" panose="02000000000000000000" pitchFamily="2" charset="0"/>
              </a:rPr>
              <a:t>SKYLINE</a:t>
            </a:r>
          </a:p>
        </xdr:txBody>
      </xdr:sp>
      <xdr:sp macro="" textlink="">
        <xdr:nvSpPr>
          <xdr:cNvPr id="4" name="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/>
          </xdr:cNvSpPr>
        </xdr:nvSpPr>
        <xdr:spPr>
          <a:xfrm>
            <a:off x="328900" y="0"/>
            <a:ext cx="293911" cy="533400"/>
          </a:xfrm>
          <a:custGeom>
            <a:avLst/>
            <a:gdLst>
              <a:gd name="connsiteX0" fmla="*/ 2362953 w 5486400"/>
              <a:gd name="connsiteY0" fmla="*/ 3227612 h 5486400"/>
              <a:gd name="connsiteX1" fmla="*/ 2410419 w 5486400"/>
              <a:gd name="connsiteY1" fmla="*/ 3234548 h 5486400"/>
              <a:gd name="connsiteX2" fmla="*/ 2564304 w 5486400"/>
              <a:gd name="connsiteY2" fmla="*/ 3345605 h 5486400"/>
              <a:gd name="connsiteX3" fmla="*/ 2478725 w 5486400"/>
              <a:gd name="connsiteY3" fmla="*/ 3680329 h 5486400"/>
              <a:gd name="connsiteX4" fmla="*/ 2135495 w 5486400"/>
              <a:gd name="connsiteY4" fmla="*/ 3596873 h 5486400"/>
              <a:gd name="connsiteX5" fmla="*/ 2221072 w 5486400"/>
              <a:gd name="connsiteY5" fmla="*/ 3262148 h 5486400"/>
              <a:gd name="connsiteX6" fmla="*/ 2314657 w 5486400"/>
              <a:gd name="connsiteY6" fmla="*/ 3229670 h 5486400"/>
              <a:gd name="connsiteX7" fmla="*/ 2362953 w 5486400"/>
              <a:gd name="connsiteY7" fmla="*/ 3227612 h 5486400"/>
              <a:gd name="connsiteX8" fmla="*/ 2407963 w 5486400"/>
              <a:gd name="connsiteY8" fmla="*/ 2922028 h 5486400"/>
              <a:gd name="connsiteX9" fmla="*/ 2371359 w 5486400"/>
              <a:gd name="connsiteY9" fmla="*/ 3065212 h 5486400"/>
              <a:gd name="connsiteX10" fmla="*/ 2291150 w 5486400"/>
              <a:gd name="connsiteY10" fmla="*/ 3068633 h 5486400"/>
              <a:gd name="connsiteX11" fmla="*/ 2211565 w 5486400"/>
              <a:gd name="connsiteY11" fmla="*/ 3087635 h 5486400"/>
              <a:gd name="connsiteX12" fmla="*/ 2207830 w 5486400"/>
              <a:gd name="connsiteY12" fmla="*/ 3089355 h 5486400"/>
              <a:gd name="connsiteX13" fmla="*/ 2129719 w 5486400"/>
              <a:gd name="connsiteY13" fmla="*/ 2962585 h 5486400"/>
              <a:gd name="connsiteX14" fmla="*/ 1992747 w 5486400"/>
              <a:gd name="connsiteY14" fmla="*/ 3042858 h 5486400"/>
              <a:gd name="connsiteX15" fmla="*/ 2073963 w 5486400"/>
              <a:gd name="connsiteY15" fmla="*/ 3174673 h 5486400"/>
              <a:gd name="connsiteX16" fmla="*/ 2025348 w 5486400"/>
              <a:gd name="connsiteY16" fmla="*/ 3215896 h 5486400"/>
              <a:gd name="connsiteX17" fmla="*/ 1972839 w 5486400"/>
              <a:gd name="connsiteY17" fmla="*/ 3299248 h 5486400"/>
              <a:gd name="connsiteX18" fmla="*/ 1825397 w 5486400"/>
              <a:gd name="connsiteY18" fmla="*/ 3263394 h 5486400"/>
              <a:gd name="connsiteX19" fmla="*/ 1786741 w 5486400"/>
              <a:gd name="connsiteY19" fmla="*/ 3414614 h 5486400"/>
              <a:gd name="connsiteX20" fmla="*/ 1936811 w 5486400"/>
              <a:gd name="connsiteY20" fmla="*/ 3451101 h 5486400"/>
              <a:gd name="connsiteX21" fmla="*/ 1934274 w 5486400"/>
              <a:gd name="connsiteY21" fmla="*/ 3503984 h 5486400"/>
              <a:gd name="connsiteX22" fmla="*/ 1956548 w 5486400"/>
              <a:gd name="connsiteY22" fmla="*/ 3606146 h 5486400"/>
              <a:gd name="connsiteX23" fmla="*/ 1958310 w 5486400"/>
              <a:gd name="connsiteY23" fmla="*/ 3609787 h 5486400"/>
              <a:gd name="connsiteX24" fmla="*/ 1828329 w 5486400"/>
              <a:gd name="connsiteY24" fmla="*/ 3685953 h 5486400"/>
              <a:gd name="connsiteX25" fmla="*/ 1910632 w 5486400"/>
              <a:gd name="connsiteY25" fmla="*/ 3819539 h 5486400"/>
              <a:gd name="connsiteX26" fmla="*/ 2040614 w 5486400"/>
              <a:gd name="connsiteY26" fmla="*/ 3743373 h 5486400"/>
              <a:gd name="connsiteX27" fmla="*/ 2043088 w 5486400"/>
              <a:gd name="connsiteY27" fmla="*/ 3746609 h 5486400"/>
              <a:gd name="connsiteX28" fmla="*/ 2104216 w 5486400"/>
              <a:gd name="connsiteY28" fmla="*/ 3799818 h 5486400"/>
              <a:gd name="connsiteX29" fmla="*/ 2173376 w 5486400"/>
              <a:gd name="connsiteY29" fmla="*/ 3839568 h 5486400"/>
              <a:gd name="connsiteX30" fmla="*/ 2136771 w 5486400"/>
              <a:gd name="connsiteY30" fmla="*/ 3982744 h 5486400"/>
              <a:gd name="connsiteX31" fmla="*/ 2291835 w 5486400"/>
              <a:gd name="connsiteY31" fmla="*/ 4020441 h 5486400"/>
              <a:gd name="connsiteX32" fmla="*/ 2328439 w 5486400"/>
              <a:gd name="connsiteY32" fmla="*/ 3877266 h 5486400"/>
              <a:gd name="connsiteX33" fmla="*/ 2408647 w 5486400"/>
              <a:gd name="connsiteY33" fmla="*/ 3873844 h 5486400"/>
              <a:gd name="connsiteX34" fmla="*/ 2488234 w 5486400"/>
              <a:gd name="connsiteY34" fmla="*/ 3854842 h 5486400"/>
              <a:gd name="connsiteX35" fmla="*/ 2491976 w 5486400"/>
              <a:gd name="connsiteY35" fmla="*/ 3853123 h 5486400"/>
              <a:gd name="connsiteX36" fmla="*/ 2570078 w 5486400"/>
              <a:gd name="connsiteY36" fmla="*/ 3979883 h 5486400"/>
              <a:gd name="connsiteX37" fmla="*/ 2707059 w 5486400"/>
              <a:gd name="connsiteY37" fmla="*/ 3899619 h 5486400"/>
              <a:gd name="connsiteX38" fmla="*/ 2625836 w 5486400"/>
              <a:gd name="connsiteY38" fmla="*/ 3767797 h 5486400"/>
              <a:gd name="connsiteX39" fmla="*/ 2674449 w 5486400"/>
              <a:gd name="connsiteY39" fmla="*/ 3726580 h 5486400"/>
              <a:gd name="connsiteX40" fmla="*/ 2726958 w 5486400"/>
              <a:gd name="connsiteY40" fmla="*/ 3643228 h 5486400"/>
              <a:gd name="connsiteX41" fmla="*/ 2874402 w 5486400"/>
              <a:gd name="connsiteY41" fmla="*/ 3679075 h 5486400"/>
              <a:gd name="connsiteX42" fmla="*/ 2913057 w 5486400"/>
              <a:gd name="connsiteY42" fmla="*/ 3527855 h 5486400"/>
              <a:gd name="connsiteX43" fmla="*/ 2762988 w 5486400"/>
              <a:gd name="connsiteY43" fmla="*/ 3491368 h 5486400"/>
              <a:gd name="connsiteX44" fmla="*/ 2765524 w 5486400"/>
              <a:gd name="connsiteY44" fmla="*/ 3438485 h 5486400"/>
              <a:gd name="connsiteX45" fmla="*/ 2743251 w 5486400"/>
              <a:gd name="connsiteY45" fmla="*/ 3336332 h 5486400"/>
              <a:gd name="connsiteX46" fmla="*/ 2741487 w 5486400"/>
              <a:gd name="connsiteY46" fmla="*/ 3332682 h 5486400"/>
              <a:gd name="connsiteX47" fmla="*/ 2871478 w 5486400"/>
              <a:gd name="connsiteY47" fmla="*/ 3256516 h 5486400"/>
              <a:gd name="connsiteX48" fmla="*/ 2789165 w 5486400"/>
              <a:gd name="connsiteY48" fmla="*/ 3122929 h 5486400"/>
              <a:gd name="connsiteX49" fmla="*/ 2659183 w 5486400"/>
              <a:gd name="connsiteY49" fmla="*/ 3199096 h 5486400"/>
              <a:gd name="connsiteX50" fmla="*/ 2656709 w 5486400"/>
              <a:gd name="connsiteY50" fmla="*/ 3195867 h 5486400"/>
              <a:gd name="connsiteX51" fmla="*/ 2595582 w 5486400"/>
              <a:gd name="connsiteY51" fmla="*/ 3142650 h 5486400"/>
              <a:gd name="connsiteX52" fmla="*/ 2526421 w 5486400"/>
              <a:gd name="connsiteY52" fmla="*/ 3102910 h 5486400"/>
              <a:gd name="connsiteX53" fmla="*/ 2563026 w 5486400"/>
              <a:gd name="connsiteY53" fmla="*/ 2959734 h 5486400"/>
              <a:gd name="connsiteX54" fmla="*/ 3595991 w 5486400"/>
              <a:gd name="connsiteY54" fmla="*/ 2309647 h 5486400"/>
              <a:gd name="connsiteX55" fmla="*/ 3922489 w 5486400"/>
              <a:gd name="connsiteY55" fmla="*/ 2461262 h 5486400"/>
              <a:gd name="connsiteX56" fmla="*/ 3810571 w 5486400"/>
              <a:gd name="connsiteY56" fmla="*/ 2899016 h 5486400"/>
              <a:gd name="connsiteX57" fmla="*/ 3361692 w 5486400"/>
              <a:gd name="connsiteY57" fmla="*/ 2789872 h 5486400"/>
              <a:gd name="connsiteX58" fmla="*/ 3473610 w 5486400"/>
              <a:gd name="connsiteY58" fmla="*/ 2352118 h 5486400"/>
              <a:gd name="connsiteX59" fmla="*/ 3595991 w 5486400"/>
              <a:gd name="connsiteY59" fmla="*/ 2309647 h 5486400"/>
              <a:gd name="connsiteX60" fmla="*/ 3718021 w 5486400"/>
              <a:gd name="connsiteY60" fmla="*/ 1907317 h 5486400"/>
              <a:gd name="connsiteX61" fmla="*/ 3670154 w 5486400"/>
              <a:gd name="connsiteY61" fmla="*/ 2094559 h 5486400"/>
              <a:gd name="connsiteX62" fmla="*/ 3565261 w 5486400"/>
              <a:gd name="connsiteY62" fmla="*/ 2099043 h 5486400"/>
              <a:gd name="connsiteX63" fmla="*/ 3461178 w 5486400"/>
              <a:gd name="connsiteY63" fmla="*/ 2123888 h 5486400"/>
              <a:gd name="connsiteX64" fmla="*/ 3456285 w 5486400"/>
              <a:gd name="connsiteY64" fmla="*/ 2126143 h 5486400"/>
              <a:gd name="connsiteX65" fmla="*/ 3354145 w 5486400"/>
              <a:gd name="connsiteY65" fmla="*/ 1960351 h 5486400"/>
              <a:gd name="connsiteX66" fmla="*/ 3175000 w 5486400"/>
              <a:gd name="connsiteY66" fmla="*/ 2065329 h 5486400"/>
              <a:gd name="connsiteX67" fmla="*/ 3281215 w 5486400"/>
              <a:gd name="connsiteY67" fmla="*/ 2237725 h 5486400"/>
              <a:gd name="connsiteX68" fmla="*/ 3217641 w 5486400"/>
              <a:gd name="connsiteY68" fmla="*/ 2291627 h 5486400"/>
              <a:gd name="connsiteX69" fmla="*/ 3148966 w 5486400"/>
              <a:gd name="connsiteY69" fmla="*/ 2400631 h 5486400"/>
              <a:gd name="connsiteX70" fmla="*/ 2956147 w 5486400"/>
              <a:gd name="connsiteY70" fmla="*/ 2353749 h 5486400"/>
              <a:gd name="connsiteX71" fmla="*/ 2905590 w 5486400"/>
              <a:gd name="connsiteY71" fmla="*/ 2551518 h 5486400"/>
              <a:gd name="connsiteX72" fmla="*/ 3101846 w 5486400"/>
              <a:gd name="connsiteY72" fmla="*/ 2599235 h 5486400"/>
              <a:gd name="connsiteX73" fmla="*/ 3098544 w 5486400"/>
              <a:gd name="connsiteY73" fmla="*/ 2668392 h 5486400"/>
              <a:gd name="connsiteX74" fmla="*/ 3127664 w 5486400"/>
              <a:gd name="connsiteY74" fmla="*/ 2801996 h 5486400"/>
              <a:gd name="connsiteX75" fmla="*/ 3129967 w 5486400"/>
              <a:gd name="connsiteY75" fmla="*/ 2806769 h 5486400"/>
              <a:gd name="connsiteX76" fmla="*/ 2959970 w 5486400"/>
              <a:gd name="connsiteY76" fmla="*/ 2906377 h 5486400"/>
              <a:gd name="connsiteX77" fmla="*/ 3067607 w 5486400"/>
              <a:gd name="connsiteY77" fmla="*/ 3081082 h 5486400"/>
              <a:gd name="connsiteX78" fmla="*/ 3237611 w 5486400"/>
              <a:gd name="connsiteY78" fmla="*/ 2981465 h 5486400"/>
              <a:gd name="connsiteX79" fmla="*/ 3240842 w 5486400"/>
              <a:gd name="connsiteY79" fmla="*/ 2985694 h 5486400"/>
              <a:gd name="connsiteX80" fmla="*/ 3320780 w 5486400"/>
              <a:gd name="connsiteY80" fmla="*/ 3055281 h 5486400"/>
              <a:gd name="connsiteX81" fmla="*/ 3411241 w 5486400"/>
              <a:gd name="connsiteY81" fmla="*/ 3107270 h 5486400"/>
              <a:gd name="connsiteX82" fmla="*/ 3363365 w 5486400"/>
              <a:gd name="connsiteY82" fmla="*/ 3294503 h 5486400"/>
              <a:gd name="connsiteX83" fmla="*/ 3566152 w 5486400"/>
              <a:gd name="connsiteY83" fmla="*/ 3343815 h 5486400"/>
              <a:gd name="connsiteX84" fmla="*/ 3614028 w 5486400"/>
              <a:gd name="connsiteY84" fmla="*/ 3156573 h 5486400"/>
              <a:gd name="connsiteX85" fmla="*/ 3718920 w 5486400"/>
              <a:gd name="connsiteY85" fmla="*/ 3152090 h 5486400"/>
              <a:gd name="connsiteX86" fmla="*/ 3823003 w 5486400"/>
              <a:gd name="connsiteY86" fmla="*/ 3127237 h 5486400"/>
              <a:gd name="connsiteX87" fmla="*/ 3827889 w 5486400"/>
              <a:gd name="connsiteY87" fmla="*/ 3124991 h 5486400"/>
              <a:gd name="connsiteX88" fmla="*/ 3930036 w 5486400"/>
              <a:gd name="connsiteY88" fmla="*/ 3290783 h 5486400"/>
              <a:gd name="connsiteX89" fmla="*/ 4109181 w 5486400"/>
              <a:gd name="connsiteY89" fmla="*/ 3185805 h 5486400"/>
              <a:gd name="connsiteX90" fmla="*/ 4002957 w 5486400"/>
              <a:gd name="connsiteY90" fmla="*/ 3013407 h 5486400"/>
              <a:gd name="connsiteX91" fmla="*/ 4066531 w 5486400"/>
              <a:gd name="connsiteY91" fmla="*/ 2959506 h 5486400"/>
              <a:gd name="connsiteX92" fmla="*/ 4135207 w 5486400"/>
              <a:gd name="connsiteY92" fmla="*/ 2850493 h 5486400"/>
              <a:gd name="connsiteX93" fmla="*/ 4328025 w 5486400"/>
              <a:gd name="connsiteY93" fmla="*/ 2897385 h 5486400"/>
              <a:gd name="connsiteX94" fmla="*/ 4378591 w 5486400"/>
              <a:gd name="connsiteY94" fmla="*/ 2699615 h 5486400"/>
              <a:gd name="connsiteX95" fmla="*/ 4182328 w 5486400"/>
              <a:gd name="connsiteY95" fmla="*/ 2651899 h 5486400"/>
              <a:gd name="connsiteX96" fmla="*/ 4185638 w 5486400"/>
              <a:gd name="connsiteY96" fmla="*/ 2582741 h 5486400"/>
              <a:gd name="connsiteX97" fmla="*/ 4156518 w 5486400"/>
              <a:gd name="connsiteY97" fmla="*/ 2449137 h 5486400"/>
              <a:gd name="connsiteX98" fmla="*/ 4154207 w 5486400"/>
              <a:gd name="connsiteY98" fmla="*/ 2444365 h 5486400"/>
              <a:gd name="connsiteX99" fmla="*/ 4324202 w 5486400"/>
              <a:gd name="connsiteY99" fmla="*/ 2344756 h 5486400"/>
              <a:gd name="connsiteX100" fmla="*/ 4216567 w 5486400"/>
              <a:gd name="connsiteY100" fmla="*/ 2170051 h 5486400"/>
              <a:gd name="connsiteX101" fmla="*/ 4046570 w 5486400"/>
              <a:gd name="connsiteY101" fmla="*/ 2269669 h 5486400"/>
              <a:gd name="connsiteX102" fmla="*/ 4043332 w 5486400"/>
              <a:gd name="connsiteY102" fmla="*/ 2265440 h 5486400"/>
              <a:gd name="connsiteX103" fmla="*/ 3963385 w 5486400"/>
              <a:gd name="connsiteY103" fmla="*/ 2195852 h 5486400"/>
              <a:gd name="connsiteX104" fmla="*/ 3872940 w 5486400"/>
              <a:gd name="connsiteY104" fmla="*/ 2143872 h 5486400"/>
              <a:gd name="connsiteX105" fmla="*/ 3920807 w 5486400"/>
              <a:gd name="connsiteY105" fmla="*/ 1956622 h 5486400"/>
              <a:gd name="connsiteX106" fmla="*/ 2117700 w 5486400"/>
              <a:gd name="connsiteY106" fmla="*/ 1296183 h 5486400"/>
              <a:gd name="connsiteX107" fmla="*/ 2567577 w 5486400"/>
              <a:gd name="connsiteY107" fmla="*/ 1544774 h 5486400"/>
              <a:gd name="connsiteX108" fmla="*/ 2362345 w 5486400"/>
              <a:gd name="connsiteY108" fmla="*/ 2158041 h 5486400"/>
              <a:gd name="connsiteX109" fmla="*/ 1733494 w 5486400"/>
              <a:gd name="connsiteY109" fmla="*/ 1957886 h 5486400"/>
              <a:gd name="connsiteX110" fmla="*/ 1938735 w 5486400"/>
              <a:gd name="connsiteY110" fmla="*/ 1344627 h 5486400"/>
              <a:gd name="connsiteX111" fmla="*/ 2117700 w 5486400"/>
              <a:gd name="connsiteY111" fmla="*/ 1296183 h 5486400"/>
              <a:gd name="connsiteX112" fmla="*/ 2333675 w 5486400"/>
              <a:gd name="connsiteY112" fmla="*/ 734440 h 5486400"/>
              <a:gd name="connsiteX113" fmla="*/ 2245884 w 5486400"/>
              <a:gd name="connsiteY113" fmla="*/ 996761 h 5486400"/>
              <a:gd name="connsiteX114" fmla="*/ 2095814 w 5486400"/>
              <a:gd name="connsiteY114" fmla="*/ 992760 h 5486400"/>
              <a:gd name="connsiteX115" fmla="*/ 1944782 w 5486400"/>
              <a:gd name="connsiteY115" fmla="*/ 1017878 h 5486400"/>
              <a:gd name="connsiteX116" fmla="*/ 1937566 w 5486400"/>
              <a:gd name="connsiteY116" fmla="*/ 1020606 h 5486400"/>
              <a:gd name="connsiteX117" fmla="*/ 1809159 w 5486400"/>
              <a:gd name="connsiteY117" fmla="*/ 774032 h 5486400"/>
              <a:gd name="connsiteX118" fmla="*/ 1542718 w 5486400"/>
              <a:gd name="connsiteY118" fmla="*/ 905995 h 5486400"/>
              <a:gd name="connsiteX119" fmla="*/ 1676244 w 5486400"/>
              <a:gd name="connsiteY119" fmla="*/ 1162403 h 5486400"/>
              <a:gd name="connsiteX120" fmla="*/ 1579960 w 5486400"/>
              <a:gd name="connsiteY120" fmla="*/ 1232991 h 5486400"/>
              <a:gd name="connsiteX121" fmla="*/ 1470651 w 5486400"/>
              <a:gd name="connsiteY121" fmla="*/ 1381659 h 5486400"/>
              <a:gd name="connsiteX122" fmla="*/ 1200522 w 5486400"/>
              <a:gd name="connsiteY122" fmla="*/ 1295682 h 5486400"/>
              <a:gd name="connsiteX123" fmla="*/ 1107809 w 5486400"/>
              <a:gd name="connsiteY123" fmla="*/ 1572734 h 5486400"/>
              <a:gd name="connsiteX124" fmla="*/ 1382761 w 5486400"/>
              <a:gd name="connsiteY124" fmla="*/ 1660243 h 5486400"/>
              <a:gd name="connsiteX125" fmla="*/ 1370824 w 5486400"/>
              <a:gd name="connsiteY125" fmla="*/ 1758554 h 5486400"/>
              <a:gd name="connsiteX126" fmla="*/ 1398450 w 5486400"/>
              <a:gd name="connsiteY126" fmla="*/ 1951990 h 5486400"/>
              <a:gd name="connsiteX127" fmla="*/ 1401239 w 5486400"/>
              <a:gd name="connsiteY127" fmla="*/ 1959026 h 5486400"/>
              <a:gd name="connsiteX128" fmla="*/ 1148399 w 5486400"/>
              <a:gd name="connsiteY128" fmla="*/ 2084252 h 5486400"/>
              <a:gd name="connsiteX129" fmla="*/ 1283725 w 5486400"/>
              <a:gd name="connsiteY129" fmla="*/ 2344098 h 5486400"/>
              <a:gd name="connsiteX130" fmla="*/ 1536564 w 5486400"/>
              <a:gd name="connsiteY130" fmla="*/ 2218856 h 5486400"/>
              <a:gd name="connsiteX131" fmla="*/ 1540739 w 5486400"/>
              <a:gd name="connsiteY131" fmla="*/ 2225207 h 5486400"/>
              <a:gd name="connsiteX132" fmla="*/ 1647502 w 5486400"/>
              <a:gd name="connsiteY132" fmla="*/ 2332387 h 5486400"/>
              <a:gd name="connsiteX133" fmla="*/ 1771097 w 5486400"/>
              <a:gd name="connsiteY133" fmla="*/ 2415484 h 5486400"/>
              <a:gd name="connsiteX134" fmla="*/ 1683314 w 5486400"/>
              <a:gd name="connsiteY134" fmla="*/ 2677806 h 5486400"/>
              <a:gd name="connsiteX135" fmla="*/ 1967397 w 5486400"/>
              <a:gd name="connsiteY135" fmla="*/ 2768220 h 5486400"/>
              <a:gd name="connsiteX136" fmla="*/ 2055188 w 5486400"/>
              <a:gd name="connsiteY136" fmla="*/ 2505907 h 5486400"/>
              <a:gd name="connsiteX137" fmla="*/ 2205258 w 5486400"/>
              <a:gd name="connsiteY137" fmla="*/ 2509908 h 5486400"/>
              <a:gd name="connsiteX138" fmla="*/ 2356299 w 5486400"/>
              <a:gd name="connsiteY138" fmla="*/ 2484782 h 5486400"/>
              <a:gd name="connsiteX139" fmla="*/ 2363505 w 5486400"/>
              <a:gd name="connsiteY139" fmla="*/ 2482063 h 5486400"/>
              <a:gd name="connsiteX140" fmla="*/ 2491922 w 5486400"/>
              <a:gd name="connsiteY140" fmla="*/ 2728637 h 5486400"/>
              <a:gd name="connsiteX141" fmla="*/ 2758363 w 5486400"/>
              <a:gd name="connsiteY141" fmla="*/ 2596664 h 5486400"/>
              <a:gd name="connsiteX142" fmla="*/ 2624828 w 5486400"/>
              <a:gd name="connsiteY142" fmla="*/ 2340265 h 5486400"/>
              <a:gd name="connsiteX143" fmla="*/ 2721120 w 5486400"/>
              <a:gd name="connsiteY143" fmla="*/ 2269669 h 5486400"/>
              <a:gd name="connsiteX144" fmla="*/ 2830430 w 5486400"/>
              <a:gd name="connsiteY144" fmla="*/ 2121002 h 5486400"/>
              <a:gd name="connsiteX145" fmla="*/ 3100550 w 5486400"/>
              <a:gd name="connsiteY145" fmla="*/ 2206977 h 5486400"/>
              <a:gd name="connsiteX146" fmla="*/ 3193271 w 5486400"/>
              <a:gd name="connsiteY146" fmla="*/ 1929925 h 5486400"/>
              <a:gd name="connsiteX147" fmla="*/ 2918319 w 5486400"/>
              <a:gd name="connsiteY147" fmla="*/ 1842415 h 5486400"/>
              <a:gd name="connsiteX148" fmla="*/ 2930249 w 5486400"/>
              <a:gd name="connsiteY148" fmla="*/ 1744105 h 5486400"/>
              <a:gd name="connsiteX149" fmla="*/ 2902630 w 5486400"/>
              <a:gd name="connsiteY149" fmla="*/ 1550669 h 5486400"/>
              <a:gd name="connsiteX150" fmla="*/ 2899833 w 5486400"/>
              <a:gd name="connsiteY150" fmla="*/ 1543642 h 5486400"/>
              <a:gd name="connsiteX151" fmla="*/ 3152672 w 5486400"/>
              <a:gd name="connsiteY151" fmla="*/ 1418409 h 5486400"/>
              <a:gd name="connsiteX152" fmla="*/ 3017355 w 5486400"/>
              <a:gd name="connsiteY152" fmla="*/ 1158570 h 5486400"/>
              <a:gd name="connsiteX153" fmla="*/ 2764517 w 5486400"/>
              <a:gd name="connsiteY153" fmla="*/ 1283804 h 5486400"/>
              <a:gd name="connsiteX154" fmla="*/ 2760334 w 5486400"/>
              <a:gd name="connsiteY154" fmla="*/ 1277452 h 5486400"/>
              <a:gd name="connsiteX155" fmla="*/ 2653578 w 5486400"/>
              <a:gd name="connsiteY155" fmla="*/ 1170281 h 5486400"/>
              <a:gd name="connsiteX156" fmla="*/ 2529974 w 5486400"/>
              <a:gd name="connsiteY156" fmla="*/ 1087184 h 5486400"/>
              <a:gd name="connsiteX157" fmla="*/ 2617766 w 5486400"/>
              <a:gd name="connsiteY157" fmla="*/ 824863 h 5486400"/>
              <a:gd name="connsiteX158" fmla="*/ 0 w 5486400"/>
              <a:gd name="connsiteY158" fmla="*/ 0 h 5486400"/>
              <a:gd name="connsiteX159" fmla="*/ 5486400 w 5486400"/>
              <a:gd name="connsiteY159" fmla="*/ 0 h 5486400"/>
              <a:gd name="connsiteX160" fmla="*/ 5486400 w 5486400"/>
              <a:gd name="connsiteY160" fmla="*/ 5486400 h 5486400"/>
              <a:gd name="connsiteX161" fmla="*/ 0 w 5486400"/>
              <a:gd name="connsiteY161" fmla="*/ 5486400 h 5486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</a:cxnLst>
            <a:rect l="l" t="t" r="r" b="b"/>
            <a:pathLst>
              <a:path w="5486400" h="5486400">
                <a:moveTo>
                  <a:pt x="2362953" y="3227612"/>
                </a:moveTo>
                <a:cubicBezTo>
                  <a:pt x="2378990" y="3228444"/>
                  <a:pt x="2394888" y="3230776"/>
                  <a:pt x="2410419" y="3234548"/>
                </a:cubicBezTo>
                <a:cubicBezTo>
                  <a:pt x="2472527" y="3249646"/>
                  <a:pt x="2528724" y="3287861"/>
                  <a:pt x="2564304" y="3345605"/>
                </a:cubicBezTo>
                <a:cubicBezTo>
                  <a:pt x="2635452" y="3461075"/>
                  <a:pt x="2597138" y="3610945"/>
                  <a:pt x="2478725" y="3680329"/>
                </a:cubicBezTo>
                <a:cubicBezTo>
                  <a:pt x="2360321" y="3749715"/>
                  <a:pt x="2206643" y="3712351"/>
                  <a:pt x="2135495" y="3596873"/>
                </a:cubicBezTo>
                <a:cubicBezTo>
                  <a:pt x="2064345" y="3481394"/>
                  <a:pt x="2102659" y="3331533"/>
                  <a:pt x="2221072" y="3262148"/>
                </a:cubicBezTo>
                <a:cubicBezTo>
                  <a:pt x="2250678" y="3244794"/>
                  <a:pt x="2282479" y="3234127"/>
                  <a:pt x="2314657" y="3229670"/>
                </a:cubicBezTo>
                <a:cubicBezTo>
                  <a:pt x="2330742" y="3227446"/>
                  <a:pt x="2346917" y="3226779"/>
                  <a:pt x="2362953" y="3227612"/>
                </a:cubicBezTo>
                <a:close/>
                <a:moveTo>
                  <a:pt x="2407963" y="2922028"/>
                </a:moveTo>
                <a:lnTo>
                  <a:pt x="2371359" y="3065212"/>
                </a:lnTo>
                <a:lnTo>
                  <a:pt x="2291150" y="3068633"/>
                </a:lnTo>
                <a:cubicBezTo>
                  <a:pt x="2264343" y="3072344"/>
                  <a:pt x="2237688" y="3078643"/>
                  <a:pt x="2211565" y="3087635"/>
                </a:cubicBezTo>
                <a:lnTo>
                  <a:pt x="2207830" y="3089355"/>
                </a:lnTo>
                <a:lnTo>
                  <a:pt x="2129719" y="2962585"/>
                </a:lnTo>
                <a:lnTo>
                  <a:pt x="1992747" y="3042858"/>
                </a:lnTo>
                <a:lnTo>
                  <a:pt x="2073963" y="3174673"/>
                </a:lnTo>
                <a:lnTo>
                  <a:pt x="2025348" y="3215896"/>
                </a:lnTo>
                <a:lnTo>
                  <a:pt x="1972839" y="3299248"/>
                </a:lnTo>
                <a:lnTo>
                  <a:pt x="1825397" y="3263394"/>
                </a:lnTo>
                <a:lnTo>
                  <a:pt x="1786741" y="3414614"/>
                </a:lnTo>
                <a:lnTo>
                  <a:pt x="1936811" y="3451101"/>
                </a:lnTo>
                <a:lnTo>
                  <a:pt x="1934274" y="3503984"/>
                </a:lnTo>
                <a:cubicBezTo>
                  <a:pt x="1937099" y="3538374"/>
                  <a:pt x="1944449" y="3572703"/>
                  <a:pt x="1956548" y="3606146"/>
                </a:cubicBezTo>
                <a:lnTo>
                  <a:pt x="1958310" y="3609787"/>
                </a:lnTo>
                <a:lnTo>
                  <a:pt x="1828329" y="3685953"/>
                </a:lnTo>
                <a:lnTo>
                  <a:pt x="1910632" y="3819539"/>
                </a:lnTo>
                <a:lnTo>
                  <a:pt x="2040614" y="3743373"/>
                </a:lnTo>
                <a:lnTo>
                  <a:pt x="2043088" y="3746609"/>
                </a:lnTo>
                <a:cubicBezTo>
                  <a:pt x="2061827" y="3766507"/>
                  <a:pt x="2082329" y="3784273"/>
                  <a:pt x="2104216" y="3799818"/>
                </a:cubicBezTo>
                <a:lnTo>
                  <a:pt x="2173376" y="3839568"/>
                </a:lnTo>
                <a:lnTo>
                  <a:pt x="2136771" y="3982744"/>
                </a:lnTo>
                <a:lnTo>
                  <a:pt x="2291835" y="4020441"/>
                </a:lnTo>
                <a:lnTo>
                  <a:pt x="2328439" y="3877266"/>
                </a:lnTo>
                <a:lnTo>
                  <a:pt x="2408647" y="3873844"/>
                </a:lnTo>
                <a:cubicBezTo>
                  <a:pt x="2435454" y="3870133"/>
                  <a:pt x="2462110" y="3863834"/>
                  <a:pt x="2488234" y="3854842"/>
                </a:cubicBezTo>
                <a:lnTo>
                  <a:pt x="2491976" y="3853123"/>
                </a:lnTo>
                <a:lnTo>
                  <a:pt x="2570078" y="3979883"/>
                </a:lnTo>
                <a:lnTo>
                  <a:pt x="2707059" y="3899619"/>
                </a:lnTo>
                <a:lnTo>
                  <a:pt x="2625836" y="3767797"/>
                </a:lnTo>
                <a:lnTo>
                  <a:pt x="2674449" y="3726580"/>
                </a:lnTo>
                <a:lnTo>
                  <a:pt x="2726958" y="3643228"/>
                </a:lnTo>
                <a:lnTo>
                  <a:pt x="2874402" y="3679075"/>
                </a:lnTo>
                <a:lnTo>
                  <a:pt x="2913057" y="3527855"/>
                </a:lnTo>
                <a:lnTo>
                  <a:pt x="2762988" y="3491368"/>
                </a:lnTo>
                <a:lnTo>
                  <a:pt x="2765524" y="3438485"/>
                </a:lnTo>
                <a:cubicBezTo>
                  <a:pt x="2762699" y="3404104"/>
                  <a:pt x="2755350" y="3369765"/>
                  <a:pt x="2743251" y="3336332"/>
                </a:cubicBezTo>
                <a:lnTo>
                  <a:pt x="2741487" y="3332682"/>
                </a:lnTo>
                <a:lnTo>
                  <a:pt x="2871478" y="3256516"/>
                </a:lnTo>
                <a:lnTo>
                  <a:pt x="2789165" y="3122929"/>
                </a:lnTo>
                <a:lnTo>
                  <a:pt x="2659183" y="3199096"/>
                </a:lnTo>
                <a:lnTo>
                  <a:pt x="2656709" y="3195867"/>
                </a:lnTo>
                <a:cubicBezTo>
                  <a:pt x="2637971" y="3175971"/>
                  <a:pt x="2617470" y="3158205"/>
                  <a:pt x="2595582" y="3142650"/>
                </a:cubicBezTo>
                <a:lnTo>
                  <a:pt x="2526421" y="3102910"/>
                </a:lnTo>
                <a:lnTo>
                  <a:pt x="2563026" y="2959734"/>
                </a:lnTo>
                <a:close/>
                <a:moveTo>
                  <a:pt x="3595991" y="2309647"/>
                </a:moveTo>
                <a:cubicBezTo>
                  <a:pt x="3722204" y="2292197"/>
                  <a:pt x="3852699" y="2347993"/>
                  <a:pt x="3922489" y="2461262"/>
                </a:cubicBezTo>
                <a:cubicBezTo>
                  <a:pt x="4015535" y="2612280"/>
                  <a:pt x="3965427" y="2808277"/>
                  <a:pt x="3810571" y="2899016"/>
                </a:cubicBezTo>
                <a:cubicBezTo>
                  <a:pt x="3655706" y="2989756"/>
                  <a:pt x="3454738" y="2940890"/>
                  <a:pt x="3361692" y="2789872"/>
                </a:cubicBezTo>
                <a:cubicBezTo>
                  <a:pt x="3268648" y="2638853"/>
                  <a:pt x="3318756" y="2442856"/>
                  <a:pt x="3473610" y="2352118"/>
                </a:cubicBezTo>
                <a:cubicBezTo>
                  <a:pt x="3512320" y="2329430"/>
                  <a:pt x="3553918" y="2315472"/>
                  <a:pt x="3595991" y="2309647"/>
                </a:cubicBezTo>
                <a:close/>
                <a:moveTo>
                  <a:pt x="3718021" y="1907317"/>
                </a:moveTo>
                <a:lnTo>
                  <a:pt x="3670154" y="2094559"/>
                </a:lnTo>
                <a:lnTo>
                  <a:pt x="3565261" y="2099043"/>
                </a:lnTo>
                <a:cubicBezTo>
                  <a:pt x="3530204" y="2103895"/>
                  <a:pt x="3495336" y="2112132"/>
                  <a:pt x="3461178" y="2123888"/>
                </a:cubicBezTo>
                <a:lnTo>
                  <a:pt x="3456285" y="2126143"/>
                </a:lnTo>
                <a:lnTo>
                  <a:pt x="3354145" y="1960351"/>
                </a:lnTo>
                <a:lnTo>
                  <a:pt x="3175000" y="2065329"/>
                </a:lnTo>
                <a:lnTo>
                  <a:pt x="3281215" y="2237725"/>
                </a:lnTo>
                <a:lnTo>
                  <a:pt x="3217641" y="2291627"/>
                </a:lnTo>
                <a:lnTo>
                  <a:pt x="3148966" y="2400631"/>
                </a:lnTo>
                <a:lnTo>
                  <a:pt x="2956147" y="2353749"/>
                </a:lnTo>
                <a:lnTo>
                  <a:pt x="2905590" y="2551518"/>
                </a:lnTo>
                <a:lnTo>
                  <a:pt x="3101846" y="2599235"/>
                </a:lnTo>
                <a:lnTo>
                  <a:pt x="3098544" y="2668392"/>
                </a:lnTo>
                <a:cubicBezTo>
                  <a:pt x="3102232" y="2713362"/>
                  <a:pt x="3111839" y="2758272"/>
                  <a:pt x="3127664" y="2801996"/>
                </a:cubicBezTo>
                <a:lnTo>
                  <a:pt x="3129967" y="2806769"/>
                </a:lnTo>
                <a:lnTo>
                  <a:pt x="2959970" y="2906377"/>
                </a:lnTo>
                <a:lnTo>
                  <a:pt x="3067607" y="3081082"/>
                </a:lnTo>
                <a:lnTo>
                  <a:pt x="3237611" y="2981465"/>
                </a:lnTo>
                <a:lnTo>
                  <a:pt x="3240842" y="2985694"/>
                </a:lnTo>
                <a:cubicBezTo>
                  <a:pt x="3265346" y="3011714"/>
                  <a:pt x="3292164" y="3034954"/>
                  <a:pt x="3320780" y="3055281"/>
                </a:cubicBezTo>
                <a:lnTo>
                  <a:pt x="3411241" y="3107270"/>
                </a:lnTo>
                <a:lnTo>
                  <a:pt x="3363365" y="3294503"/>
                </a:lnTo>
                <a:lnTo>
                  <a:pt x="3566152" y="3343815"/>
                </a:lnTo>
                <a:lnTo>
                  <a:pt x="3614028" y="3156573"/>
                </a:lnTo>
                <a:lnTo>
                  <a:pt x="3718920" y="3152090"/>
                </a:lnTo>
                <a:cubicBezTo>
                  <a:pt x="3753978" y="3147248"/>
                  <a:pt x="3788837" y="3139002"/>
                  <a:pt x="3823003" y="3127237"/>
                </a:cubicBezTo>
                <a:lnTo>
                  <a:pt x="3827889" y="3124991"/>
                </a:lnTo>
                <a:lnTo>
                  <a:pt x="3930036" y="3290783"/>
                </a:lnTo>
                <a:lnTo>
                  <a:pt x="4109181" y="3185805"/>
                </a:lnTo>
                <a:lnTo>
                  <a:pt x="4002957" y="3013407"/>
                </a:lnTo>
                <a:lnTo>
                  <a:pt x="4066531" y="2959506"/>
                </a:lnTo>
                <a:lnTo>
                  <a:pt x="4135207" y="2850493"/>
                </a:lnTo>
                <a:lnTo>
                  <a:pt x="4328025" y="2897385"/>
                </a:lnTo>
                <a:lnTo>
                  <a:pt x="4378591" y="2699615"/>
                </a:lnTo>
                <a:lnTo>
                  <a:pt x="4182328" y="2651899"/>
                </a:lnTo>
                <a:lnTo>
                  <a:pt x="4185638" y="2582741"/>
                </a:lnTo>
                <a:cubicBezTo>
                  <a:pt x="4181950" y="2537772"/>
                  <a:pt x="4172333" y="2492862"/>
                  <a:pt x="4156518" y="2449137"/>
                </a:cubicBezTo>
                <a:lnTo>
                  <a:pt x="4154207" y="2444365"/>
                </a:lnTo>
                <a:lnTo>
                  <a:pt x="4324202" y="2344756"/>
                </a:lnTo>
                <a:lnTo>
                  <a:pt x="4216567" y="2170051"/>
                </a:lnTo>
                <a:lnTo>
                  <a:pt x="4046570" y="2269669"/>
                </a:lnTo>
                <a:lnTo>
                  <a:pt x="4043332" y="2265440"/>
                </a:lnTo>
                <a:cubicBezTo>
                  <a:pt x="4018835" y="2239419"/>
                  <a:pt x="3992010" y="2216180"/>
                  <a:pt x="3963385" y="2195852"/>
                </a:cubicBezTo>
                <a:lnTo>
                  <a:pt x="3872940" y="2143872"/>
                </a:lnTo>
                <a:lnTo>
                  <a:pt x="3920807" y="1956622"/>
                </a:lnTo>
                <a:close/>
                <a:moveTo>
                  <a:pt x="2117700" y="1296183"/>
                </a:moveTo>
                <a:cubicBezTo>
                  <a:pt x="2299545" y="1283787"/>
                  <a:pt x="2479850" y="1376315"/>
                  <a:pt x="2567577" y="1544774"/>
                </a:cubicBezTo>
                <a:cubicBezTo>
                  <a:pt x="2684561" y="1769389"/>
                  <a:pt x="2592667" y="2043957"/>
                  <a:pt x="2362345" y="2158041"/>
                </a:cubicBezTo>
                <a:cubicBezTo>
                  <a:pt x="2132022" y="2272116"/>
                  <a:pt x="1850477" y="2182500"/>
                  <a:pt x="1733494" y="1957886"/>
                </a:cubicBezTo>
                <a:cubicBezTo>
                  <a:pt x="1616520" y="1733270"/>
                  <a:pt x="1708413" y="1458703"/>
                  <a:pt x="1938735" y="1344627"/>
                </a:cubicBezTo>
                <a:cubicBezTo>
                  <a:pt x="1996310" y="1316106"/>
                  <a:pt x="2057095" y="1300315"/>
                  <a:pt x="2117700" y="1296183"/>
                </a:cubicBezTo>
                <a:close/>
                <a:moveTo>
                  <a:pt x="2333675" y="734440"/>
                </a:moveTo>
                <a:lnTo>
                  <a:pt x="2245884" y="996761"/>
                </a:lnTo>
                <a:lnTo>
                  <a:pt x="2095814" y="992760"/>
                </a:lnTo>
                <a:cubicBezTo>
                  <a:pt x="2045311" y="996199"/>
                  <a:pt x="1994726" y="1004498"/>
                  <a:pt x="1944782" y="1017878"/>
                </a:cubicBezTo>
                <a:lnTo>
                  <a:pt x="1937566" y="1020606"/>
                </a:lnTo>
                <a:lnTo>
                  <a:pt x="1809159" y="774032"/>
                </a:lnTo>
                <a:lnTo>
                  <a:pt x="1542718" y="905995"/>
                </a:lnTo>
                <a:lnTo>
                  <a:pt x="1676244" y="1162403"/>
                </a:lnTo>
                <a:lnTo>
                  <a:pt x="1579960" y="1232991"/>
                </a:lnTo>
                <a:lnTo>
                  <a:pt x="1470651" y="1381659"/>
                </a:lnTo>
                <a:lnTo>
                  <a:pt x="1200522" y="1295682"/>
                </a:lnTo>
                <a:lnTo>
                  <a:pt x="1107809" y="1572734"/>
                </a:lnTo>
                <a:lnTo>
                  <a:pt x="1382761" y="1660243"/>
                </a:lnTo>
                <a:lnTo>
                  <a:pt x="1370824" y="1758554"/>
                </a:lnTo>
                <a:cubicBezTo>
                  <a:pt x="1371408" y="1823063"/>
                  <a:pt x="1380440" y="1888052"/>
                  <a:pt x="1398450" y="1951990"/>
                </a:cubicBezTo>
                <a:lnTo>
                  <a:pt x="1401239" y="1959026"/>
                </a:lnTo>
                <a:lnTo>
                  <a:pt x="1148399" y="2084252"/>
                </a:lnTo>
                <a:lnTo>
                  <a:pt x="1283725" y="2344098"/>
                </a:lnTo>
                <a:lnTo>
                  <a:pt x="1536564" y="2218856"/>
                </a:lnTo>
                <a:lnTo>
                  <a:pt x="1540739" y="2225207"/>
                </a:lnTo>
                <a:cubicBezTo>
                  <a:pt x="1572971" y="2264747"/>
                  <a:pt x="1608793" y="2300550"/>
                  <a:pt x="1647502" y="2332387"/>
                </a:cubicBezTo>
                <a:lnTo>
                  <a:pt x="1771097" y="2415484"/>
                </a:lnTo>
                <a:lnTo>
                  <a:pt x="1683314" y="2677806"/>
                </a:lnTo>
                <a:lnTo>
                  <a:pt x="1967397" y="2768220"/>
                </a:lnTo>
                <a:lnTo>
                  <a:pt x="2055188" y="2505907"/>
                </a:lnTo>
                <a:lnTo>
                  <a:pt x="2205258" y="2509908"/>
                </a:lnTo>
                <a:cubicBezTo>
                  <a:pt x="2255761" y="2506469"/>
                  <a:pt x="2306345" y="2498161"/>
                  <a:pt x="2356299" y="2484782"/>
                </a:cubicBezTo>
                <a:lnTo>
                  <a:pt x="2363505" y="2482063"/>
                </a:lnTo>
                <a:lnTo>
                  <a:pt x="2491922" y="2728637"/>
                </a:lnTo>
                <a:lnTo>
                  <a:pt x="2758363" y="2596664"/>
                </a:lnTo>
                <a:lnTo>
                  <a:pt x="2624828" y="2340265"/>
                </a:lnTo>
                <a:lnTo>
                  <a:pt x="2721120" y="2269669"/>
                </a:lnTo>
                <a:lnTo>
                  <a:pt x="2830430" y="2121002"/>
                </a:lnTo>
                <a:lnTo>
                  <a:pt x="3100550" y="2206977"/>
                </a:lnTo>
                <a:lnTo>
                  <a:pt x="3193271" y="1929925"/>
                </a:lnTo>
                <a:lnTo>
                  <a:pt x="2918319" y="1842415"/>
                </a:lnTo>
                <a:lnTo>
                  <a:pt x="2930249" y="1744105"/>
                </a:lnTo>
                <a:cubicBezTo>
                  <a:pt x="2929672" y="1679598"/>
                  <a:pt x="2920640" y="1614607"/>
                  <a:pt x="2902630" y="1550669"/>
                </a:cubicBezTo>
                <a:lnTo>
                  <a:pt x="2899833" y="1543642"/>
                </a:lnTo>
                <a:lnTo>
                  <a:pt x="3152672" y="1418409"/>
                </a:lnTo>
                <a:lnTo>
                  <a:pt x="3017355" y="1158570"/>
                </a:lnTo>
                <a:lnTo>
                  <a:pt x="2764517" y="1283804"/>
                </a:lnTo>
                <a:lnTo>
                  <a:pt x="2760334" y="1277452"/>
                </a:lnTo>
                <a:cubicBezTo>
                  <a:pt x="2728101" y="1237912"/>
                  <a:pt x="2692279" y="1202118"/>
                  <a:pt x="2653578" y="1170281"/>
                </a:cubicBezTo>
                <a:lnTo>
                  <a:pt x="2529974" y="1087184"/>
                </a:lnTo>
                <a:lnTo>
                  <a:pt x="2617766" y="824863"/>
                </a:lnTo>
                <a:close/>
                <a:moveTo>
                  <a:pt x="0" y="0"/>
                </a:moveTo>
                <a:lnTo>
                  <a:pt x="5486400" y="0"/>
                </a:lnTo>
                <a:lnTo>
                  <a:pt x="5486400" y="5486400"/>
                </a:lnTo>
                <a:lnTo>
                  <a:pt x="0" y="5486400"/>
                </a:lnTo>
                <a:close/>
              </a:path>
            </a:pathLst>
          </a:custGeom>
          <a:solidFill>
            <a:schemeClr val="accent2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="horz" wrap="square" lIns="0" tIns="45720" rIns="0" bIns="0" numCol="1" spcCol="0" rtlCol="0" fromWordArt="0" anchor="b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700" b="0">
                <a:latin typeface="+mn-lt"/>
                <a:ea typeface="Roboto Medium" panose="02000000000000000000" pitchFamily="2" charset="0"/>
              </a:rPr>
              <a:t>SYSTEM</a:t>
            </a:r>
          </a:p>
        </xdr:txBody>
      </xdr:sp>
      <xdr:sp macro="[0]!refresh" textlink="">
        <xdr:nvSpPr>
          <xdr:cNvPr id="5" name="sss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>
          <a:xfrm>
            <a:off x="657800" y="0"/>
            <a:ext cx="293911" cy="533400"/>
          </a:xfrm>
          <a:custGeom>
            <a:avLst/>
            <a:gdLst>
              <a:gd name="connsiteX0" fmla="*/ 1610921 w 5486400"/>
              <a:gd name="connsiteY0" fmla="*/ 1208880 h 5486400"/>
              <a:gd name="connsiteX1" fmla="*/ 2045520 w 5486400"/>
              <a:gd name="connsiteY1" fmla="*/ 1741685 h 5486400"/>
              <a:gd name="connsiteX2" fmla="*/ 1810731 w 5486400"/>
              <a:gd name="connsiteY2" fmla="*/ 1741685 h 5486400"/>
              <a:gd name="connsiteX3" fmla="*/ 1790485 w 5486400"/>
              <a:gd name="connsiteY3" fmla="*/ 1840536 h 5486400"/>
              <a:gd name="connsiteX4" fmla="*/ 2746752 w 5486400"/>
              <a:gd name="connsiteY4" fmla="*/ 2783092 h 5486400"/>
              <a:gd name="connsiteX5" fmla="*/ 3118973 w 5486400"/>
              <a:gd name="connsiteY5" fmla="*/ 2709022 h 5486400"/>
              <a:gd name="connsiteX6" fmla="*/ 3164938 w 5486400"/>
              <a:gd name="connsiteY6" fmla="*/ 2678471 h 5486400"/>
              <a:gd name="connsiteX7" fmla="*/ 3489080 w 5486400"/>
              <a:gd name="connsiteY7" fmla="*/ 2910127 h 5486400"/>
              <a:gd name="connsiteX8" fmla="*/ 3269614 w 5486400"/>
              <a:gd name="connsiteY8" fmla="*/ 3027539 h 5486400"/>
              <a:gd name="connsiteX9" fmla="*/ 2757818 w 5486400"/>
              <a:gd name="connsiteY9" fmla="*/ 3129382 h 5486400"/>
              <a:gd name="connsiteX10" fmla="*/ 1442953 w 5486400"/>
              <a:gd name="connsiteY10" fmla="*/ 1833372 h 5486400"/>
              <a:gd name="connsiteX11" fmla="*/ 1452329 w 5486400"/>
              <a:gd name="connsiteY11" fmla="*/ 1741685 h 5486400"/>
              <a:gd name="connsiteX12" fmla="*/ 1176322 w 5486400"/>
              <a:gd name="connsiteY12" fmla="*/ 1741685 h 5486400"/>
              <a:gd name="connsiteX13" fmla="*/ 2757818 w 5486400"/>
              <a:gd name="connsiteY13" fmla="*/ 537362 h 5486400"/>
              <a:gd name="connsiteX14" fmla="*/ 4045963 w 5486400"/>
              <a:gd name="connsiteY14" fmla="*/ 1572179 h 5486400"/>
              <a:gd name="connsiteX15" fmla="*/ 4072659 w 5486400"/>
              <a:gd name="connsiteY15" fmla="*/ 1833173 h 5486400"/>
              <a:gd name="connsiteX16" fmla="*/ 4310087 w 5486400"/>
              <a:gd name="connsiteY16" fmla="*/ 1833173 h 5486400"/>
              <a:gd name="connsiteX17" fmla="*/ 4013948 w 5486400"/>
              <a:gd name="connsiteY17" fmla="*/ 2196238 h 5486400"/>
              <a:gd name="connsiteX18" fmla="*/ 4003551 w 5486400"/>
              <a:gd name="connsiteY18" fmla="*/ 2229226 h 5486400"/>
              <a:gd name="connsiteX19" fmla="*/ 3993119 w 5486400"/>
              <a:gd name="connsiteY19" fmla="*/ 2221764 h 5486400"/>
              <a:gd name="connsiteX20" fmla="*/ 3875487 w 5486400"/>
              <a:gd name="connsiteY20" fmla="*/ 2365977 h 5486400"/>
              <a:gd name="connsiteX21" fmla="*/ 3440888 w 5486400"/>
              <a:gd name="connsiteY21" fmla="*/ 1833173 h 5486400"/>
              <a:gd name="connsiteX22" fmla="*/ 3701510 w 5486400"/>
              <a:gd name="connsiteY22" fmla="*/ 1833173 h 5486400"/>
              <a:gd name="connsiteX23" fmla="*/ 3627865 w 5486400"/>
              <a:gd name="connsiteY23" fmla="*/ 1473653 h 5486400"/>
              <a:gd name="connsiteX24" fmla="*/ 2746752 w 5486400"/>
              <a:gd name="connsiteY24" fmla="*/ 897982 h 5486400"/>
              <a:gd name="connsiteX25" fmla="*/ 2374524 w 5486400"/>
              <a:gd name="connsiteY25" fmla="*/ 972052 h 5486400"/>
              <a:gd name="connsiteX26" fmla="*/ 2307120 w 5486400"/>
              <a:gd name="connsiteY26" fmla="*/ 1016853 h 5486400"/>
              <a:gd name="connsiteX27" fmla="*/ 1986766 w 5486400"/>
              <a:gd name="connsiteY27" fmla="*/ 787904 h 5486400"/>
              <a:gd name="connsiteX28" fmla="*/ 2022664 w 5486400"/>
              <a:gd name="connsiteY28" fmla="*/ 758707 h 5486400"/>
              <a:gd name="connsiteX29" fmla="*/ 2757818 w 5486400"/>
              <a:gd name="connsiteY29" fmla="*/ 537362 h 5486400"/>
              <a:gd name="connsiteX30" fmla="*/ 2743200 w 5486400"/>
              <a:gd name="connsiteY30" fmla="*/ 213360 h 5486400"/>
              <a:gd name="connsiteX31" fmla="*/ 1099621 w 5486400"/>
              <a:gd name="connsiteY31" fmla="*/ 1833372 h 5486400"/>
              <a:gd name="connsiteX32" fmla="*/ 2743200 w 5486400"/>
              <a:gd name="connsiteY32" fmla="*/ 3453384 h 5486400"/>
              <a:gd name="connsiteX33" fmla="*/ 4386780 w 5486400"/>
              <a:gd name="connsiteY33" fmla="*/ 1833372 h 5486400"/>
              <a:gd name="connsiteX34" fmla="*/ 2743200 w 5486400"/>
              <a:gd name="connsiteY34" fmla="*/ 213360 h 5486400"/>
              <a:gd name="connsiteX35" fmla="*/ 0 w 5486400"/>
              <a:gd name="connsiteY35" fmla="*/ 0 h 5486400"/>
              <a:gd name="connsiteX36" fmla="*/ 5486400 w 5486400"/>
              <a:gd name="connsiteY36" fmla="*/ 0 h 5486400"/>
              <a:gd name="connsiteX37" fmla="*/ 5486400 w 5486400"/>
              <a:gd name="connsiteY37" fmla="*/ 5486400 h 5486400"/>
              <a:gd name="connsiteX38" fmla="*/ 0 w 5486400"/>
              <a:gd name="connsiteY38" fmla="*/ 5486400 h 54864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5486400" h="5486400">
                <a:moveTo>
                  <a:pt x="1610921" y="1208880"/>
                </a:moveTo>
                <a:lnTo>
                  <a:pt x="2045520" y="1741685"/>
                </a:lnTo>
                <a:lnTo>
                  <a:pt x="1810731" y="1741685"/>
                </a:lnTo>
                <a:lnTo>
                  <a:pt x="1790485" y="1840536"/>
                </a:lnTo>
                <a:cubicBezTo>
                  <a:pt x="1790485" y="2361095"/>
                  <a:pt x="2218621" y="2783092"/>
                  <a:pt x="2746752" y="2783092"/>
                </a:cubicBezTo>
                <a:cubicBezTo>
                  <a:pt x="2878786" y="2783092"/>
                  <a:pt x="3004569" y="2756722"/>
                  <a:pt x="3118973" y="2709022"/>
                </a:cubicBezTo>
                <a:lnTo>
                  <a:pt x="3164938" y="2678471"/>
                </a:lnTo>
                <a:lnTo>
                  <a:pt x="3489080" y="2910127"/>
                </a:lnTo>
                <a:lnTo>
                  <a:pt x="3269614" y="3027539"/>
                </a:lnTo>
                <a:cubicBezTo>
                  <a:pt x="3112308" y="3093112"/>
                  <a:pt x="2939359" y="3129382"/>
                  <a:pt x="2757818" y="3129382"/>
                </a:cubicBezTo>
                <a:cubicBezTo>
                  <a:pt x="2031637" y="3129382"/>
                  <a:pt x="1442953" y="2549140"/>
                  <a:pt x="1442953" y="1833372"/>
                </a:cubicBezTo>
                <a:lnTo>
                  <a:pt x="1452329" y="1741685"/>
                </a:lnTo>
                <a:lnTo>
                  <a:pt x="1176322" y="1741685"/>
                </a:lnTo>
                <a:close/>
                <a:moveTo>
                  <a:pt x="2757818" y="537362"/>
                </a:moveTo>
                <a:cubicBezTo>
                  <a:pt x="3393219" y="537362"/>
                  <a:pt x="3923364" y="981611"/>
                  <a:pt x="4045963" y="1572179"/>
                </a:cubicBezTo>
                <a:lnTo>
                  <a:pt x="4072659" y="1833173"/>
                </a:lnTo>
                <a:lnTo>
                  <a:pt x="4310087" y="1833173"/>
                </a:lnTo>
                <a:lnTo>
                  <a:pt x="4013948" y="2196238"/>
                </a:lnTo>
                <a:lnTo>
                  <a:pt x="4003551" y="2229226"/>
                </a:lnTo>
                <a:lnTo>
                  <a:pt x="3993119" y="2221764"/>
                </a:lnTo>
                <a:lnTo>
                  <a:pt x="3875487" y="2365977"/>
                </a:lnTo>
                <a:lnTo>
                  <a:pt x="3440888" y="1833173"/>
                </a:lnTo>
                <a:lnTo>
                  <a:pt x="3701510" y="1833173"/>
                </a:lnTo>
                <a:lnTo>
                  <a:pt x="3627865" y="1473653"/>
                </a:lnTo>
                <a:cubicBezTo>
                  <a:pt x="3482696" y="1135356"/>
                  <a:pt x="3142843" y="897982"/>
                  <a:pt x="2746752" y="897982"/>
                </a:cubicBezTo>
                <a:cubicBezTo>
                  <a:pt x="2614719" y="897982"/>
                  <a:pt x="2488934" y="924358"/>
                  <a:pt x="2374524" y="972052"/>
                </a:cubicBezTo>
                <a:lnTo>
                  <a:pt x="2307120" y="1016853"/>
                </a:lnTo>
                <a:lnTo>
                  <a:pt x="1986766" y="787904"/>
                </a:lnTo>
                <a:lnTo>
                  <a:pt x="2022664" y="758707"/>
                </a:lnTo>
                <a:cubicBezTo>
                  <a:pt x="2232519" y="618958"/>
                  <a:pt x="2485505" y="537362"/>
                  <a:pt x="2757818" y="537362"/>
                </a:cubicBezTo>
                <a:close/>
                <a:moveTo>
                  <a:pt x="2743200" y="213360"/>
                </a:moveTo>
                <a:cubicBezTo>
                  <a:pt x="1835479" y="213360"/>
                  <a:pt x="1099621" y="938665"/>
                  <a:pt x="1099621" y="1833372"/>
                </a:cubicBezTo>
                <a:cubicBezTo>
                  <a:pt x="1099621" y="2728078"/>
                  <a:pt x="1835479" y="3453384"/>
                  <a:pt x="2743200" y="3453384"/>
                </a:cubicBezTo>
                <a:cubicBezTo>
                  <a:pt x="3650923" y="3453384"/>
                  <a:pt x="4386780" y="2728078"/>
                  <a:pt x="4386780" y="1833372"/>
                </a:cubicBezTo>
                <a:cubicBezTo>
                  <a:pt x="4386780" y="938665"/>
                  <a:pt x="3650923" y="213360"/>
                  <a:pt x="2743200" y="213360"/>
                </a:cubicBezTo>
                <a:close/>
                <a:moveTo>
                  <a:pt x="0" y="0"/>
                </a:moveTo>
                <a:lnTo>
                  <a:pt x="5486400" y="0"/>
                </a:lnTo>
                <a:lnTo>
                  <a:pt x="5486400" y="5486400"/>
                </a:lnTo>
                <a:lnTo>
                  <a:pt x="0" y="5486400"/>
                </a:lnTo>
                <a:close/>
              </a:path>
            </a:pathLst>
          </a:cu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0" tIns="0" rIns="0" bIns="0" numCol="1" spcCol="0" rtlCol="0" fromWordArt="0" anchor="b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700">
                <a:latin typeface="Roboto Medium" panose="02000000000000000000" pitchFamily="2" charset="0"/>
                <a:ea typeface="Roboto Medium" panose="02000000000000000000" pitchFamily="2" charset="0"/>
              </a:rPr>
              <a:t>REFRESH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ystemtable" displayName="systemtable" ref="A5:L364" totalsRowShown="0" headerRowDxfId="13" dataDxfId="12">
  <autoFilter ref="A5:L364" xr:uid="{00000000-0009-0000-0100-000001000000}"/>
  <sortState ref="A6:K364">
    <sortCondition ref="E5:E364"/>
  </sortState>
  <tableColumns count="12">
    <tableColumn id="1" xr3:uid="{00000000-0010-0000-0000-000001000000}" name="Sub-System" dataDxfId="11"/>
    <tableColumn id="8" xr3:uid="{00000000-0010-0000-0000-000008000000}" name="Sub-System Description" dataDxfId="10"/>
    <tableColumn id="2" xr3:uid="{00000000-0010-0000-0000-000002000000}" name="WD Forecast date" dataDxfId="9"/>
    <tableColumn id="5" xr3:uid="{00000000-0010-0000-0000-000005000000}" name="MC Forecast date" dataDxfId="8">
      <calculatedColumnFormula>systemtable[[#This Row],[Commissioning Forecast Date]]-10</calculatedColumnFormula>
    </tableColumn>
    <tableColumn id="10" xr3:uid="{00000000-0010-0000-0000-00000A000000}" name="Commissioning Forecast Date" dataDxfId="7"/>
    <tableColumn id="4" xr3:uid="{00000000-0010-0000-0000-000004000000}" name="Column1" dataDxfId="6">
      <calculatedColumnFormula>VLOOKUP(systemtable[[#This Row],[Sub-System]],#REF!,4,FALSE)</calculatedColumnFormula>
    </tableColumn>
    <tableColumn id="7" xr3:uid="{00000000-0010-0000-0000-000007000000}" name="Completed_x000a_(OK/ -)" dataDxfId="5">
      <calculatedColumnFormula>IF(COUNT(systemtable[[#This Row],[RFI Issued Date]:[PL Received
Date]])=3,"OK","")</calculatedColumnFormula>
    </tableColumn>
    <tableColumn id="9" xr3:uid="{00000000-0010-0000-0000-000009000000}" name="Status_x000a_(for chart color)" dataDxfId="4">
      <calculatedColumnFormula>IF(systemtable[[#This Row],[REJECTED]]&gt;0,"Status5","status"&amp;COUNT(systemtable[[#This Row],[RFI Issued Date]:[PL Received
Date]])+1)</calculatedColumnFormula>
    </tableColumn>
    <tableColumn id="3" xr3:uid="{00000000-0010-0000-0000-000003000000}" name="RFI Issued Date" dataDxfId="3"/>
    <tableColumn id="11" xr3:uid="{00000000-0010-0000-0000-00000B000000}" name="WD Completed Date" dataDxfId="2"/>
    <tableColumn id="6" xr3:uid="{00000000-0010-0000-0000-000006000000}" name="PL Received_x000a_Date" dataDxfId="1"/>
    <tableColumn id="12" xr3:uid="{C8304994-E796-4C54-AAAD-0C4483035FF0}" name="REJECTED" dataDxfId="0"/>
  </tableColumns>
  <tableStyleInfo name="TableStyleLight20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Dark">
      <a:dk1>
        <a:srgbClr val="262626"/>
      </a:dk1>
      <a:lt1>
        <a:srgbClr val="FFFFFF"/>
      </a:lt1>
      <a:dk2>
        <a:srgbClr val="036041"/>
      </a:dk2>
      <a:lt2>
        <a:srgbClr val="E4E4E4"/>
      </a:lt2>
      <a:accent1>
        <a:srgbClr val="257F56"/>
      </a:accent1>
      <a:accent2>
        <a:srgbClr val="1F9135"/>
      </a:accent2>
      <a:accent3>
        <a:srgbClr val="E28810"/>
      </a:accent3>
      <a:accent4>
        <a:srgbClr val="44748C"/>
      </a:accent4>
      <a:accent5>
        <a:srgbClr val="2A80B9"/>
      </a:accent5>
      <a:accent6>
        <a:srgbClr val="F42C2C"/>
      </a:accent6>
      <a:hlink>
        <a:srgbClr val="262626"/>
      </a:hlink>
      <a:folHlink>
        <a:srgbClr val="595959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99"/>
  <sheetViews>
    <sheetView showGridLines="0" tabSelected="1" zoomScale="85" zoomScaleNormal="85" workbookViewId="0">
      <selection activeCell="I14" sqref="I14"/>
    </sheetView>
  </sheetViews>
  <sheetFormatPr defaultColWidth="8.7109375" defaultRowHeight="14.25"/>
  <cols>
    <col min="1" max="1" width="4.5703125" style="68" customWidth="1"/>
    <col min="2" max="7" width="9.85546875" style="68" customWidth="1"/>
    <col min="8" max="8" width="14.7109375" style="68" customWidth="1"/>
    <col min="9" max="9" width="20" style="68" customWidth="1"/>
    <col min="10" max="19" width="9.85546875" style="68" customWidth="1"/>
    <col min="20" max="23" width="9.5703125" style="68" bestFit="1" customWidth="1"/>
    <col min="24" max="24" width="9.140625" style="68" bestFit="1" customWidth="1"/>
    <col min="25" max="25" width="16.7109375" style="68" customWidth="1"/>
    <col min="26" max="38" width="15.42578125" style="68" bestFit="1" customWidth="1"/>
    <col min="39" max="39" width="9.7109375" style="68" bestFit="1" customWidth="1"/>
    <col min="40" max="40" width="15.42578125" style="68" bestFit="1" customWidth="1"/>
    <col min="41" max="42" width="8.42578125" style="68" bestFit="1" customWidth="1"/>
    <col min="43" max="43" width="15.7109375" style="68" customWidth="1"/>
    <col min="44" max="47" width="9.42578125" style="68" bestFit="1" customWidth="1"/>
    <col min="48" max="48" width="17.42578125" style="68" customWidth="1"/>
    <col min="49" max="49" width="9.42578125" style="68" bestFit="1" customWidth="1"/>
    <col min="50" max="51" width="9.5703125" style="68" bestFit="1" customWidth="1"/>
    <col min="52" max="52" width="10" style="68" bestFit="1" customWidth="1"/>
    <col min="53" max="54" width="9.5703125" style="68" bestFit="1" customWidth="1"/>
    <col min="55" max="55" width="10" style="68" bestFit="1" customWidth="1"/>
    <col min="56" max="16384" width="8.7109375" style="68"/>
  </cols>
  <sheetData>
    <row r="1" spans="1:55" ht="48.6" customHeight="1">
      <c r="N1" s="69" t="s">
        <v>13</v>
      </c>
    </row>
    <row r="2" spans="1:55" ht="15"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</row>
    <row r="3" spans="1:55" ht="18" customHeight="1">
      <c r="A3" s="70" t="s">
        <v>18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5"/>
    </row>
    <row r="4" spans="1:55" ht="18" customHeight="1">
      <c r="A4" s="68" t="s">
        <v>664</v>
      </c>
      <c r="B4" s="23"/>
      <c r="C4" s="24"/>
      <c r="D4" s="24"/>
      <c r="E4" s="24"/>
      <c r="F4" s="24"/>
      <c r="G4" s="24"/>
      <c r="H4" s="90" t="s">
        <v>674</v>
      </c>
      <c r="I4" s="91"/>
      <c r="J4" s="24" t="s">
        <v>148</v>
      </c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5"/>
    </row>
    <row r="5" spans="1:55" ht="15">
      <c r="B5" s="23"/>
      <c r="C5" s="24"/>
      <c r="D5" s="24"/>
      <c r="E5" s="24"/>
      <c r="F5" s="24"/>
      <c r="G5" s="25"/>
      <c r="H5" s="84" t="s">
        <v>12</v>
      </c>
      <c r="I5" s="85" t="s">
        <v>673</v>
      </c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5"/>
    </row>
    <row r="6" spans="1:55" ht="15">
      <c r="B6" s="23"/>
      <c r="C6" s="24"/>
      <c r="D6" s="24"/>
      <c r="E6" s="24"/>
      <c r="F6" s="24"/>
      <c r="G6" s="25"/>
      <c r="H6" s="89" t="s">
        <v>12</v>
      </c>
      <c r="I6" s="85" t="s">
        <v>667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5"/>
    </row>
    <row r="7" spans="1:55" ht="15">
      <c r="B7" s="23"/>
      <c r="C7" s="24"/>
      <c r="D7" s="24"/>
      <c r="E7" s="24"/>
      <c r="F7" s="24"/>
      <c r="G7" s="25"/>
      <c r="H7" s="86" t="s">
        <v>12</v>
      </c>
      <c r="I7" s="85" t="s">
        <v>675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5"/>
    </row>
    <row r="8" spans="1:55" ht="15">
      <c r="B8" s="23"/>
      <c r="C8" s="24"/>
      <c r="D8" s="24"/>
      <c r="E8" s="24"/>
      <c r="F8" s="24"/>
      <c r="G8" s="25"/>
      <c r="H8" s="87" t="s">
        <v>12</v>
      </c>
      <c r="I8" s="85" t="s">
        <v>671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5"/>
    </row>
    <row r="9" spans="1:55" ht="15">
      <c r="B9" s="23"/>
      <c r="C9" s="24"/>
      <c r="D9" s="24"/>
      <c r="E9" s="24"/>
      <c r="F9" s="24"/>
      <c r="G9" s="25"/>
      <c r="H9" s="88" t="s">
        <v>12</v>
      </c>
      <c r="I9" s="85" t="s">
        <v>666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5"/>
    </row>
    <row r="10" spans="1:55" ht="15">
      <c r="B10" s="23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5"/>
    </row>
    <row r="11" spans="1:55" ht="15">
      <c r="B11" s="23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5"/>
    </row>
    <row r="12" spans="1:55" ht="15">
      <c r="B12" s="23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5"/>
    </row>
    <row r="13" spans="1:55" ht="15">
      <c r="B13" s="23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5"/>
    </row>
    <row r="14" spans="1:55" ht="15">
      <c r="B14" s="23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5"/>
    </row>
    <row r="15" spans="1:55" ht="15">
      <c r="B15" s="23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5"/>
    </row>
    <row r="16" spans="1:55" ht="15">
      <c r="B16" s="23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5"/>
    </row>
    <row r="17" spans="2:55" ht="15">
      <c r="B17" s="23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5"/>
    </row>
    <row r="18" spans="2:55" ht="15">
      <c r="B18" s="23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5"/>
    </row>
    <row r="19" spans="2:55" ht="15">
      <c r="B19" s="23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5"/>
    </row>
    <row r="20" spans="2:55" ht="15">
      <c r="B20" s="23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5"/>
    </row>
    <row r="21" spans="2:55" ht="15">
      <c r="B21" s="23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5"/>
    </row>
    <row r="22" spans="2:55" ht="15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5"/>
    </row>
    <row r="23" spans="2:55" ht="15">
      <c r="B23" s="23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5"/>
    </row>
    <row r="24" spans="2:55" ht="15">
      <c r="B24" s="23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5"/>
    </row>
    <row r="25" spans="2:55" ht="15">
      <c r="B25" s="23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5"/>
    </row>
    <row r="26" spans="2:55" ht="15">
      <c r="B26" s="23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5"/>
    </row>
    <row r="27" spans="2:55" ht="15">
      <c r="B27" s="23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5"/>
    </row>
    <row r="28" spans="2:55" ht="15">
      <c r="B28" s="23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5"/>
    </row>
    <row r="29" spans="2:55" ht="15">
      <c r="B29" s="23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5"/>
    </row>
    <row r="30" spans="2:55" ht="15">
      <c r="B30" s="23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5"/>
    </row>
    <row r="31" spans="2:55" ht="15">
      <c r="B31" s="23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5"/>
    </row>
    <row r="32" spans="2:55" ht="15">
      <c r="B32" s="23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5"/>
    </row>
    <row r="33" spans="2:55" ht="15">
      <c r="B33" s="23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5"/>
    </row>
    <row r="34" spans="2:55" ht="15">
      <c r="B34" s="23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5"/>
    </row>
    <row r="35" spans="2:55" ht="15">
      <c r="B35" s="23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5"/>
    </row>
    <row r="36" spans="2:55" ht="15">
      <c r="B36" s="23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5"/>
    </row>
    <row r="37" spans="2:55" ht="15">
      <c r="B37" s="23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5"/>
    </row>
    <row r="38" spans="2:55" ht="15">
      <c r="B38" s="23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5"/>
    </row>
    <row r="39" spans="2:55" ht="15">
      <c r="B39" s="23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72" t="s">
        <v>230</v>
      </c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5"/>
    </row>
    <row r="40" spans="2:55" ht="15">
      <c r="B40" s="23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72" t="s">
        <v>227</v>
      </c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5"/>
    </row>
    <row r="41" spans="2:55" ht="15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72" t="s">
        <v>228</v>
      </c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5"/>
    </row>
    <row r="42" spans="2:55" ht="15">
      <c r="B42" s="23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72" t="s">
        <v>226</v>
      </c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5"/>
    </row>
    <row r="43" spans="2:55" ht="15">
      <c r="B43" s="23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72" t="s">
        <v>538</v>
      </c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5"/>
    </row>
    <row r="44" spans="2:55" ht="15">
      <c r="B44" s="23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72" t="s">
        <v>536</v>
      </c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5"/>
    </row>
    <row r="45" spans="2:55" ht="15">
      <c r="B45" s="23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72" t="s">
        <v>534</v>
      </c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5"/>
    </row>
    <row r="46" spans="2:55" ht="15">
      <c r="B46" s="23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72" t="s">
        <v>535</v>
      </c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5"/>
    </row>
    <row r="47" spans="2:55" ht="15">
      <c r="B47" s="23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72" t="s">
        <v>537</v>
      </c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5"/>
    </row>
    <row r="48" spans="2:55" ht="15">
      <c r="B48" s="23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72" t="s">
        <v>559</v>
      </c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5"/>
    </row>
    <row r="49" spans="2:55" ht="15">
      <c r="B49" s="23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72" t="s">
        <v>557</v>
      </c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5"/>
    </row>
    <row r="50" spans="2:55" ht="15">
      <c r="B50" s="23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72" t="s">
        <v>555</v>
      </c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5"/>
    </row>
    <row r="51" spans="2:55" ht="15">
      <c r="B51" s="23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72" t="s">
        <v>553</v>
      </c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5"/>
    </row>
    <row r="52" spans="2:55" ht="15">
      <c r="B52" s="23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72" t="s">
        <v>540</v>
      </c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5"/>
    </row>
    <row r="53" spans="2:55" ht="15">
      <c r="B53" s="23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72" t="s">
        <v>551</v>
      </c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5"/>
    </row>
    <row r="54" spans="2:55" ht="15">
      <c r="B54" s="23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72" t="s">
        <v>212</v>
      </c>
      <c r="AE54" s="24"/>
      <c r="AF54" s="72" t="s">
        <v>549</v>
      </c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5"/>
    </row>
    <row r="55" spans="2:55" ht="15">
      <c r="B55" s="23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72" t="s">
        <v>209</v>
      </c>
      <c r="AE55" s="24"/>
      <c r="AF55" s="72" t="s">
        <v>544</v>
      </c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5"/>
    </row>
    <row r="56" spans="2:55" ht="15">
      <c r="B56" s="23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72" t="s">
        <v>211</v>
      </c>
      <c r="AE56" s="24"/>
      <c r="AF56" s="72" t="s">
        <v>547</v>
      </c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5"/>
    </row>
    <row r="57" spans="2:55" ht="15">
      <c r="B57" s="23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72" t="s">
        <v>207</v>
      </c>
      <c r="AE57" s="24"/>
      <c r="AF57" s="72" t="s">
        <v>542</v>
      </c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5"/>
    </row>
    <row r="58" spans="2:55" ht="15">
      <c r="B58" s="23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72" t="s">
        <v>162</v>
      </c>
      <c r="AE58" s="24"/>
      <c r="AF58" s="72" t="s">
        <v>545</v>
      </c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5"/>
    </row>
    <row r="59" spans="2:55" ht="15">
      <c r="B59" s="23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72" t="s">
        <v>223</v>
      </c>
      <c r="AE59" s="24"/>
      <c r="AF59" s="72" t="s">
        <v>512</v>
      </c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5"/>
    </row>
    <row r="60" spans="2:55" ht="15">
      <c r="B60" s="23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72" t="s">
        <v>221</v>
      </c>
      <c r="AE60" s="24"/>
      <c r="AF60" s="72" t="s">
        <v>504</v>
      </c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5"/>
    </row>
    <row r="61" spans="2:55" ht="15">
      <c r="B61" s="23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72" t="s">
        <v>219</v>
      </c>
      <c r="AE61" s="24"/>
      <c r="AF61" s="72" t="s">
        <v>496</v>
      </c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5"/>
    </row>
    <row r="62" spans="2:55" ht="15">
      <c r="B62" s="23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72" t="s">
        <v>217</v>
      </c>
      <c r="AE62" s="24"/>
      <c r="AF62" s="72" t="s">
        <v>495</v>
      </c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5"/>
    </row>
    <row r="63" spans="2:55" ht="15">
      <c r="B63" s="23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72" t="s">
        <v>425</v>
      </c>
      <c r="AE63" s="24"/>
      <c r="AF63" s="72" t="s">
        <v>508</v>
      </c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5"/>
    </row>
    <row r="64" spans="2:55" ht="15">
      <c r="B64" s="23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72" t="s">
        <v>434</v>
      </c>
      <c r="AE64" s="24"/>
      <c r="AF64" s="72" t="s">
        <v>492</v>
      </c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5"/>
    </row>
    <row r="65" spans="2:55" ht="15">
      <c r="B65" s="23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72" t="s">
        <v>429</v>
      </c>
      <c r="AE65" s="24"/>
      <c r="AF65" s="72" t="s">
        <v>509</v>
      </c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5"/>
    </row>
    <row r="66" spans="2:55" ht="15">
      <c r="B66" s="23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72" t="s">
        <v>442</v>
      </c>
      <c r="AE66" s="24"/>
      <c r="AF66" s="72" t="s">
        <v>502</v>
      </c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5"/>
    </row>
    <row r="67" spans="2:55" ht="15">
      <c r="B67" s="23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72" t="s">
        <v>455</v>
      </c>
      <c r="AE67" s="24"/>
      <c r="AF67" s="72" t="s">
        <v>494</v>
      </c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5"/>
    </row>
    <row r="68" spans="2:55" ht="15">
      <c r="B68" s="23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72" t="s">
        <v>427</v>
      </c>
      <c r="AE68" s="24"/>
      <c r="AF68" s="72" t="s">
        <v>500</v>
      </c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5"/>
    </row>
    <row r="69" spans="2:55" ht="15">
      <c r="B69" s="23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72" t="s">
        <v>440</v>
      </c>
      <c r="AE69" s="24"/>
      <c r="AF69" s="72" t="s">
        <v>499</v>
      </c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5"/>
    </row>
    <row r="70" spans="2:55" ht="15">
      <c r="B70" s="23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72" t="s">
        <v>437</v>
      </c>
      <c r="AE70" s="24"/>
      <c r="AF70" s="72" t="s">
        <v>515</v>
      </c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5"/>
    </row>
    <row r="71" spans="2:55" ht="15">
      <c r="B71" s="23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72" t="s">
        <v>432</v>
      </c>
      <c r="AE71" s="24"/>
      <c r="AF71" s="72" t="s">
        <v>488</v>
      </c>
      <c r="AG71" s="24"/>
      <c r="AH71" s="24"/>
      <c r="AI71" s="24"/>
      <c r="AJ71" s="24"/>
      <c r="AK71" s="24"/>
      <c r="AL71" s="72" t="s">
        <v>353</v>
      </c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5"/>
    </row>
    <row r="72" spans="2:55" ht="15">
      <c r="B72" s="23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72" t="s">
        <v>315</v>
      </c>
      <c r="AE72" s="24"/>
      <c r="AF72" s="72" t="s">
        <v>498</v>
      </c>
      <c r="AG72" s="24"/>
      <c r="AH72" s="24"/>
      <c r="AI72" s="24"/>
      <c r="AJ72" s="24"/>
      <c r="AK72" s="24"/>
      <c r="AL72" s="72" t="s">
        <v>355</v>
      </c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5"/>
    </row>
    <row r="73" spans="2:55" ht="15">
      <c r="B73" s="23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72" t="s">
        <v>317</v>
      </c>
      <c r="AE73" s="24"/>
      <c r="AF73" s="72" t="s">
        <v>490</v>
      </c>
      <c r="AG73" s="24"/>
      <c r="AH73" s="24"/>
      <c r="AI73" s="24"/>
      <c r="AJ73" s="72" t="s">
        <v>52</v>
      </c>
      <c r="AK73" s="24"/>
      <c r="AL73" s="72" t="s">
        <v>111</v>
      </c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5"/>
    </row>
    <row r="74" spans="2:55" ht="15">
      <c r="B74" s="23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72" t="s">
        <v>316</v>
      </c>
      <c r="AE74" s="24"/>
      <c r="AF74" s="72" t="s">
        <v>521</v>
      </c>
      <c r="AG74" s="24"/>
      <c r="AH74" s="24"/>
      <c r="AI74" s="24"/>
      <c r="AJ74" s="72" t="s">
        <v>50</v>
      </c>
      <c r="AK74" s="24"/>
      <c r="AL74" s="72" t="s">
        <v>108</v>
      </c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5"/>
    </row>
    <row r="75" spans="2:55" ht="15">
      <c r="B75" s="23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72" t="s">
        <v>313</v>
      </c>
      <c r="AE75" s="24"/>
      <c r="AF75" s="72" t="s">
        <v>518</v>
      </c>
      <c r="AG75" s="24"/>
      <c r="AH75" s="24"/>
      <c r="AI75" s="24"/>
      <c r="AJ75" s="72" t="s">
        <v>48</v>
      </c>
      <c r="AK75" s="24"/>
      <c r="AL75" s="72" t="s">
        <v>105</v>
      </c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5"/>
    </row>
    <row r="76" spans="2:55" ht="15">
      <c r="B76" s="23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72" t="s">
        <v>417</v>
      </c>
      <c r="AE76" s="24"/>
      <c r="AF76" s="72" t="s">
        <v>527</v>
      </c>
      <c r="AG76" s="24"/>
      <c r="AH76" s="24"/>
      <c r="AI76" s="24"/>
      <c r="AJ76" s="72" t="s">
        <v>46</v>
      </c>
      <c r="AK76" s="24"/>
      <c r="AL76" s="72" t="s">
        <v>86</v>
      </c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5"/>
    </row>
    <row r="77" spans="2:55" ht="15">
      <c r="B77" s="23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72" t="s">
        <v>422</v>
      </c>
      <c r="AE77" s="72" t="s">
        <v>205</v>
      </c>
      <c r="AF77" s="72" t="s">
        <v>526</v>
      </c>
      <c r="AG77" s="24"/>
      <c r="AH77" s="24"/>
      <c r="AI77" s="24"/>
      <c r="AJ77" s="72" t="s">
        <v>43</v>
      </c>
      <c r="AK77" s="24"/>
      <c r="AL77" s="72" t="s">
        <v>132</v>
      </c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5"/>
    </row>
    <row r="78" spans="2:55" ht="15">
      <c r="B78" s="23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72" t="s">
        <v>419</v>
      </c>
      <c r="AE78" s="72" t="s">
        <v>203</v>
      </c>
      <c r="AF78" s="72" t="s">
        <v>524</v>
      </c>
      <c r="AG78" s="24"/>
      <c r="AH78" s="24"/>
      <c r="AI78" s="24"/>
      <c r="AJ78" s="72" t="s">
        <v>41</v>
      </c>
      <c r="AK78" s="24"/>
      <c r="AL78" s="72" t="s">
        <v>135</v>
      </c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5"/>
    </row>
    <row r="79" spans="2:55" ht="15">
      <c r="B79" s="23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72" t="s">
        <v>215</v>
      </c>
      <c r="AE79" s="72" t="s">
        <v>192</v>
      </c>
      <c r="AF79" s="72" t="s">
        <v>523</v>
      </c>
      <c r="AG79" s="24"/>
      <c r="AH79" s="24"/>
      <c r="AI79" s="24"/>
      <c r="AJ79" s="72" t="s">
        <v>38</v>
      </c>
      <c r="AK79" s="24"/>
      <c r="AL79" s="72" t="s">
        <v>127</v>
      </c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5"/>
    </row>
    <row r="80" spans="2:55" ht="15">
      <c r="B80" s="23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72" t="s">
        <v>214</v>
      </c>
      <c r="AE80" s="72" t="s">
        <v>190</v>
      </c>
      <c r="AF80" s="72" t="s">
        <v>520</v>
      </c>
      <c r="AG80" s="24"/>
      <c r="AH80" s="24"/>
      <c r="AI80" s="24"/>
      <c r="AJ80" s="72" t="s">
        <v>23</v>
      </c>
      <c r="AK80" s="24"/>
      <c r="AL80" s="72" t="s">
        <v>121</v>
      </c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5"/>
    </row>
    <row r="81" spans="2:55" ht="15">
      <c r="B81" s="23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72" t="s">
        <v>448</v>
      </c>
      <c r="AE81" s="72" t="s">
        <v>187</v>
      </c>
      <c r="AF81" s="72" t="s">
        <v>486</v>
      </c>
      <c r="AG81" s="24"/>
      <c r="AH81" s="24"/>
      <c r="AI81" s="24"/>
      <c r="AJ81" s="72" t="s">
        <v>35</v>
      </c>
      <c r="AK81" s="24"/>
      <c r="AL81" s="72" t="s">
        <v>124</v>
      </c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5"/>
    </row>
    <row r="82" spans="2:55" ht="15">
      <c r="B82" s="23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72" t="s">
        <v>287</v>
      </c>
      <c r="AC82" s="24"/>
      <c r="AD82" s="72" t="s">
        <v>446</v>
      </c>
      <c r="AE82" s="72" t="s">
        <v>184</v>
      </c>
      <c r="AF82" s="72" t="s">
        <v>484</v>
      </c>
      <c r="AG82" s="24"/>
      <c r="AH82" s="24"/>
      <c r="AI82" s="24"/>
      <c r="AJ82" s="72" t="s">
        <v>32</v>
      </c>
      <c r="AK82" s="24"/>
      <c r="AL82" s="72" t="s">
        <v>130</v>
      </c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5"/>
    </row>
    <row r="83" spans="2:55" ht="15">
      <c r="B83" s="23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72" t="s">
        <v>266</v>
      </c>
      <c r="AC83" s="24"/>
      <c r="AD83" s="72" t="s">
        <v>467</v>
      </c>
      <c r="AE83" s="72" t="s">
        <v>182</v>
      </c>
      <c r="AF83" s="72" t="s">
        <v>530</v>
      </c>
      <c r="AG83" s="24"/>
      <c r="AH83" s="24"/>
      <c r="AI83" s="24"/>
      <c r="AJ83" s="72" t="s">
        <v>26</v>
      </c>
      <c r="AK83" s="24"/>
      <c r="AL83" s="72" t="s">
        <v>116</v>
      </c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5"/>
    </row>
    <row r="84" spans="2:55" ht="15">
      <c r="B84" s="23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72" t="s">
        <v>282</v>
      </c>
      <c r="AC84" s="24"/>
      <c r="AD84" s="72" t="s">
        <v>478</v>
      </c>
      <c r="AE84" s="72" t="s">
        <v>195</v>
      </c>
      <c r="AF84" s="72" t="s">
        <v>529</v>
      </c>
      <c r="AG84" s="24"/>
      <c r="AH84" s="24"/>
      <c r="AI84" s="24"/>
      <c r="AJ84" s="72" t="s">
        <v>29</v>
      </c>
      <c r="AK84" s="24"/>
      <c r="AL84" s="72" t="s">
        <v>114</v>
      </c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5"/>
    </row>
    <row r="85" spans="2:55" ht="15">
      <c r="B85" s="23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72" t="s">
        <v>284</v>
      </c>
      <c r="AC85" s="24"/>
      <c r="AD85" s="72" t="s">
        <v>471</v>
      </c>
      <c r="AE85" s="72" t="s">
        <v>201</v>
      </c>
      <c r="AF85" s="72" t="s">
        <v>514</v>
      </c>
      <c r="AG85" s="24"/>
      <c r="AH85" s="24"/>
      <c r="AI85" s="24"/>
      <c r="AJ85" s="72" t="s">
        <v>65</v>
      </c>
      <c r="AK85" s="24"/>
      <c r="AL85" s="72" t="s">
        <v>147</v>
      </c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5"/>
    </row>
    <row r="86" spans="2:55" ht="15">
      <c r="B86" s="23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72" t="s">
        <v>277</v>
      </c>
      <c r="AC86" s="72" t="s">
        <v>303</v>
      </c>
      <c r="AD86" s="72" t="s">
        <v>469</v>
      </c>
      <c r="AE86" s="72" t="s">
        <v>200</v>
      </c>
      <c r="AF86" s="72" t="s">
        <v>489</v>
      </c>
      <c r="AG86" s="24"/>
      <c r="AH86" s="24"/>
      <c r="AI86" s="24"/>
      <c r="AJ86" s="72" t="s">
        <v>63</v>
      </c>
      <c r="AK86" s="24"/>
      <c r="AL86" s="72" t="s">
        <v>138</v>
      </c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5"/>
    </row>
    <row r="87" spans="2:55" ht="15">
      <c r="B87" s="23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72" t="s">
        <v>272</v>
      </c>
      <c r="AC87" s="72" t="s">
        <v>296</v>
      </c>
      <c r="AD87" s="72" t="s">
        <v>462</v>
      </c>
      <c r="AE87" s="72" t="s">
        <v>180</v>
      </c>
      <c r="AF87" s="72" t="s">
        <v>531</v>
      </c>
      <c r="AG87" s="24"/>
      <c r="AH87" s="24"/>
      <c r="AI87" s="72" t="s">
        <v>309</v>
      </c>
      <c r="AJ87" s="72" t="s">
        <v>60</v>
      </c>
      <c r="AK87" s="72" t="s">
        <v>256</v>
      </c>
      <c r="AL87" s="72" t="s">
        <v>119</v>
      </c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5"/>
    </row>
    <row r="88" spans="2:55" ht="15">
      <c r="B88" s="23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72" t="s">
        <v>389</v>
      </c>
      <c r="Z88" s="72" t="s">
        <v>176</v>
      </c>
      <c r="AA88" s="24"/>
      <c r="AB88" s="72" t="s">
        <v>270</v>
      </c>
      <c r="AC88" s="72" t="s">
        <v>300</v>
      </c>
      <c r="AD88" s="72" t="s">
        <v>459</v>
      </c>
      <c r="AE88" s="72" t="s">
        <v>198</v>
      </c>
      <c r="AF88" s="72" t="s">
        <v>516</v>
      </c>
      <c r="AG88" s="24"/>
      <c r="AH88" s="24"/>
      <c r="AI88" s="72" t="s">
        <v>565</v>
      </c>
      <c r="AJ88" s="72" t="s">
        <v>57</v>
      </c>
      <c r="AK88" s="72" t="s">
        <v>261</v>
      </c>
      <c r="AL88" s="72" t="s">
        <v>142</v>
      </c>
      <c r="AM88" s="24"/>
      <c r="AN88" s="72" t="s">
        <v>372</v>
      </c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5"/>
    </row>
    <row r="89" spans="2:55" ht="15">
      <c r="B89" s="23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72" t="s">
        <v>377</v>
      </c>
      <c r="Z89" s="72" t="s">
        <v>175</v>
      </c>
      <c r="AA89" s="24"/>
      <c r="AB89" s="72" t="s">
        <v>268</v>
      </c>
      <c r="AC89" s="72" t="s">
        <v>304</v>
      </c>
      <c r="AD89" s="72" t="s">
        <v>475</v>
      </c>
      <c r="AE89" s="72" t="s">
        <v>196</v>
      </c>
      <c r="AF89" s="72" t="s">
        <v>513</v>
      </c>
      <c r="AG89" s="24"/>
      <c r="AH89" s="24"/>
      <c r="AI89" s="72" t="s">
        <v>566</v>
      </c>
      <c r="AJ89" s="72" t="s">
        <v>55</v>
      </c>
      <c r="AK89" s="72" t="s">
        <v>261</v>
      </c>
      <c r="AL89" s="72" t="s">
        <v>98</v>
      </c>
      <c r="AM89" s="24"/>
      <c r="AN89" s="72" t="s">
        <v>351</v>
      </c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5"/>
    </row>
    <row r="90" spans="2:55" ht="15">
      <c r="B90" s="23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72" t="s">
        <v>394</v>
      </c>
      <c r="Z90" s="72" t="s">
        <v>173</v>
      </c>
      <c r="AA90" s="72" t="s">
        <v>413</v>
      </c>
      <c r="AB90" s="72" t="s">
        <v>280</v>
      </c>
      <c r="AC90" s="72" t="s">
        <v>299</v>
      </c>
      <c r="AD90" s="72" t="s">
        <v>473</v>
      </c>
      <c r="AE90" s="72" t="s">
        <v>178</v>
      </c>
      <c r="AF90" s="72" t="s">
        <v>511</v>
      </c>
      <c r="AG90" s="24"/>
      <c r="AH90" s="24"/>
      <c r="AI90" s="72" t="s">
        <v>567</v>
      </c>
      <c r="AJ90" s="72" t="s">
        <v>82</v>
      </c>
      <c r="AK90" s="72" t="s">
        <v>254</v>
      </c>
      <c r="AL90" s="72" t="s">
        <v>95</v>
      </c>
      <c r="AM90" s="24"/>
      <c r="AN90" s="72" t="s">
        <v>343</v>
      </c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5"/>
    </row>
    <row r="91" spans="2:55" ht="15">
      <c r="B91" s="23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72" t="s">
        <v>391</v>
      </c>
      <c r="Z91" s="72" t="s">
        <v>160</v>
      </c>
      <c r="AA91" s="72" t="s">
        <v>414</v>
      </c>
      <c r="AB91" s="72" t="s">
        <v>274</v>
      </c>
      <c r="AC91" s="72" t="s">
        <v>305</v>
      </c>
      <c r="AD91" s="72" t="s">
        <v>479</v>
      </c>
      <c r="AE91" s="72" t="s">
        <v>194</v>
      </c>
      <c r="AF91" s="72" t="s">
        <v>510</v>
      </c>
      <c r="AG91" s="24"/>
      <c r="AH91" s="24"/>
      <c r="AI91" s="72" t="s">
        <v>329</v>
      </c>
      <c r="AJ91" s="72" t="s">
        <v>79</v>
      </c>
      <c r="AK91" s="72" t="s">
        <v>249</v>
      </c>
      <c r="AL91" s="72" t="s">
        <v>92</v>
      </c>
      <c r="AM91" s="24"/>
      <c r="AN91" s="72" t="s">
        <v>350</v>
      </c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5"/>
    </row>
    <row r="92" spans="2:55" ht="15">
      <c r="B92" s="23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72" t="s">
        <v>387</v>
      </c>
      <c r="Z92" s="72" t="s">
        <v>168</v>
      </c>
      <c r="AA92" s="72" t="s">
        <v>411</v>
      </c>
      <c r="AB92" s="72" t="s">
        <v>278</v>
      </c>
      <c r="AC92" s="72" t="s">
        <v>297</v>
      </c>
      <c r="AD92" s="72" t="s">
        <v>472</v>
      </c>
      <c r="AE92" s="72" t="s">
        <v>362</v>
      </c>
      <c r="AF92" s="72" t="s">
        <v>506</v>
      </c>
      <c r="AG92" s="24"/>
      <c r="AH92" s="24"/>
      <c r="AI92" s="72" t="s">
        <v>332</v>
      </c>
      <c r="AJ92" s="72" t="s">
        <v>76</v>
      </c>
      <c r="AK92" s="72" t="s">
        <v>246</v>
      </c>
      <c r="AL92" s="72" t="s">
        <v>327</v>
      </c>
      <c r="AM92" s="24"/>
      <c r="AN92" s="72" t="s">
        <v>349</v>
      </c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5"/>
    </row>
    <row r="93" spans="2:55" ht="15">
      <c r="B93" s="23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72" t="s">
        <v>384</v>
      </c>
      <c r="Z93" s="72" t="s">
        <v>162</v>
      </c>
      <c r="AA93" s="72" t="s">
        <v>406</v>
      </c>
      <c r="AB93" s="72" t="s">
        <v>337</v>
      </c>
      <c r="AC93" s="72" t="s">
        <v>294</v>
      </c>
      <c r="AD93" s="72" t="s">
        <v>470</v>
      </c>
      <c r="AE93" s="72" t="s">
        <v>360</v>
      </c>
      <c r="AF93" s="72" t="s">
        <v>505</v>
      </c>
      <c r="AG93" s="24"/>
      <c r="AH93" s="24"/>
      <c r="AI93" s="72" t="s">
        <v>331</v>
      </c>
      <c r="AJ93" s="72" t="s">
        <v>73</v>
      </c>
      <c r="AK93" s="72" t="s">
        <v>243</v>
      </c>
      <c r="AL93" s="72" t="s">
        <v>90</v>
      </c>
      <c r="AM93" s="24"/>
      <c r="AN93" s="72" t="s">
        <v>347</v>
      </c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5"/>
    </row>
    <row r="94" spans="2:55" ht="15">
      <c r="B94" s="23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72" t="s">
        <v>374</v>
      </c>
      <c r="Z94" s="72" t="s">
        <v>169</v>
      </c>
      <c r="AA94" s="72" t="s">
        <v>404</v>
      </c>
      <c r="AB94" s="72" t="s">
        <v>336</v>
      </c>
      <c r="AC94" s="72" t="s">
        <v>293</v>
      </c>
      <c r="AD94" s="72" t="s">
        <v>456</v>
      </c>
      <c r="AE94" s="72" t="s">
        <v>359</v>
      </c>
      <c r="AF94" s="72" t="s">
        <v>482</v>
      </c>
      <c r="AG94" s="24"/>
      <c r="AH94" s="24"/>
      <c r="AI94" s="72" t="s">
        <v>328</v>
      </c>
      <c r="AJ94" s="72" t="s">
        <v>236</v>
      </c>
      <c r="AK94" s="72" t="s">
        <v>251</v>
      </c>
      <c r="AL94" s="72" t="s">
        <v>325</v>
      </c>
      <c r="AM94" s="24"/>
      <c r="AN94" s="72" t="s">
        <v>345</v>
      </c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5"/>
    </row>
    <row r="95" spans="2:55" ht="15">
      <c r="B95" s="23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72" t="s">
        <v>395</v>
      </c>
      <c r="Z95" s="72" t="s">
        <v>170</v>
      </c>
      <c r="AA95" s="72" t="s">
        <v>402</v>
      </c>
      <c r="AB95" s="72" t="s">
        <v>312</v>
      </c>
      <c r="AC95" s="72" t="s">
        <v>291</v>
      </c>
      <c r="AD95" s="72" t="s">
        <v>453</v>
      </c>
      <c r="AE95" s="72" t="s">
        <v>358</v>
      </c>
      <c r="AF95" s="72" t="s">
        <v>481</v>
      </c>
      <c r="AG95" s="72" t="s">
        <v>308</v>
      </c>
      <c r="AH95" s="24"/>
      <c r="AI95" s="72" t="s">
        <v>323</v>
      </c>
      <c r="AJ95" s="72" t="s">
        <v>234</v>
      </c>
      <c r="AK95" s="72" t="s">
        <v>241</v>
      </c>
      <c r="AL95" s="72" t="s">
        <v>326</v>
      </c>
      <c r="AM95" s="24"/>
      <c r="AN95" s="72" t="s">
        <v>341</v>
      </c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5"/>
    </row>
    <row r="96" spans="2:55" ht="15">
      <c r="B96" s="23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72" t="s">
        <v>379</v>
      </c>
      <c r="Z96" s="80" t="s">
        <v>165</v>
      </c>
      <c r="AA96" s="72" t="s">
        <v>408</v>
      </c>
      <c r="AB96" s="72" t="s">
        <v>335</v>
      </c>
      <c r="AC96" s="72" t="s">
        <v>288</v>
      </c>
      <c r="AD96" s="72" t="s">
        <v>451</v>
      </c>
      <c r="AE96" s="72" t="s">
        <v>366</v>
      </c>
      <c r="AF96" s="72" t="s">
        <v>533</v>
      </c>
      <c r="AG96" s="72" t="s">
        <v>306</v>
      </c>
      <c r="AH96" s="72" t="s">
        <v>156</v>
      </c>
      <c r="AI96" s="72" t="s">
        <v>322</v>
      </c>
      <c r="AJ96" s="72" t="s">
        <v>232</v>
      </c>
      <c r="AK96" s="72" t="s">
        <v>239</v>
      </c>
      <c r="AL96" s="72" t="s">
        <v>324</v>
      </c>
      <c r="AM96" s="24"/>
      <c r="AN96" s="72" t="s">
        <v>339</v>
      </c>
      <c r="AO96" s="24"/>
      <c r="AP96" s="24"/>
      <c r="AQ96" s="24"/>
      <c r="AR96" s="24"/>
      <c r="AS96" s="24"/>
      <c r="AT96" s="24"/>
      <c r="AU96" s="24"/>
      <c r="AV96" s="72" t="s">
        <v>564</v>
      </c>
      <c r="AW96" s="24"/>
      <c r="AX96" s="24"/>
      <c r="AY96" s="24"/>
      <c r="AZ96" s="24"/>
      <c r="BA96" s="24"/>
      <c r="BB96" s="24"/>
      <c r="BC96" s="25"/>
    </row>
    <row r="97" spans="2:55" ht="15">
      <c r="B97" s="23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72" t="s">
        <v>381</v>
      </c>
      <c r="Z97" s="80" t="s">
        <v>164</v>
      </c>
      <c r="AA97" s="72" t="s">
        <v>400</v>
      </c>
      <c r="AB97" s="72" t="s">
        <v>334</v>
      </c>
      <c r="AC97" s="72" t="s">
        <v>295</v>
      </c>
      <c r="AD97" s="72" t="s">
        <v>464</v>
      </c>
      <c r="AE97" s="72" t="s">
        <v>363</v>
      </c>
      <c r="AF97" s="72" t="s">
        <v>497</v>
      </c>
      <c r="AG97" s="72" t="s">
        <v>319</v>
      </c>
      <c r="AH97" s="72" t="s">
        <v>153</v>
      </c>
      <c r="AI97" s="72" t="s">
        <v>321</v>
      </c>
      <c r="AJ97" s="72" t="s">
        <v>69</v>
      </c>
      <c r="AK97" s="72" t="s">
        <v>258</v>
      </c>
      <c r="AL97" s="72" t="s">
        <v>143</v>
      </c>
      <c r="AM97" s="24"/>
      <c r="AN97" s="72" t="s">
        <v>311</v>
      </c>
      <c r="AO97" s="24"/>
      <c r="AP97" s="24"/>
      <c r="AQ97" s="24"/>
      <c r="AR97" s="24"/>
      <c r="AS97" s="24"/>
      <c r="AT97" s="24"/>
      <c r="AU97" s="24"/>
      <c r="AV97" s="72" t="s">
        <v>562</v>
      </c>
      <c r="AW97" s="24"/>
      <c r="AX97" s="24"/>
      <c r="AY97" s="24"/>
      <c r="AZ97" s="24"/>
      <c r="BA97" s="24"/>
      <c r="BB97" s="24"/>
      <c r="BC97" s="25"/>
    </row>
    <row r="98" spans="2:55" ht="15">
      <c r="B98" s="47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72" t="s">
        <v>382</v>
      </c>
      <c r="Z98" s="79" t="s">
        <v>172</v>
      </c>
      <c r="AA98" s="72" t="s">
        <v>398</v>
      </c>
      <c r="AB98" s="72" t="s">
        <v>369</v>
      </c>
      <c r="AC98" s="72" t="s">
        <v>301</v>
      </c>
      <c r="AD98" s="72" t="s">
        <v>480</v>
      </c>
      <c r="AE98" s="72" t="s">
        <v>367</v>
      </c>
      <c r="AF98" s="72" t="s">
        <v>532</v>
      </c>
      <c r="AG98" s="72" t="s">
        <v>318</v>
      </c>
      <c r="AH98" s="72" t="s">
        <v>158</v>
      </c>
      <c r="AI98" s="72" t="s">
        <v>320</v>
      </c>
      <c r="AJ98" s="72" t="s">
        <v>71</v>
      </c>
      <c r="AK98" s="72" t="s">
        <v>252</v>
      </c>
      <c r="AL98" s="72" t="s">
        <v>101</v>
      </c>
      <c r="AM98" s="26"/>
      <c r="AN98" s="72" t="s">
        <v>310</v>
      </c>
      <c r="AO98" s="26"/>
      <c r="AP98" s="26"/>
      <c r="AQ98" s="72" t="s">
        <v>333</v>
      </c>
      <c r="AR98" s="26"/>
      <c r="AS98" s="26"/>
      <c r="AT98" s="26"/>
      <c r="AU98" s="26"/>
      <c r="AV98" s="72" t="s">
        <v>560</v>
      </c>
      <c r="AW98" s="26"/>
      <c r="AX98" s="26"/>
      <c r="AY98" s="26"/>
      <c r="AZ98" s="26"/>
      <c r="BA98" s="26"/>
      <c r="BB98" s="26"/>
      <c r="BC98" s="27"/>
    </row>
    <row r="99" spans="2:55" s="71" customFormat="1" ht="12.75">
      <c r="B99" s="81">
        <v>44197</v>
      </c>
      <c r="C99" s="81">
        <f>B99+7</f>
        <v>44204</v>
      </c>
      <c r="D99" s="81">
        <f>C99+7</f>
        <v>44211</v>
      </c>
      <c r="E99" s="81">
        <f>D99+7</f>
        <v>44218</v>
      </c>
      <c r="F99" s="81">
        <f t="shared" ref="F99:S99" si="0">E99+7</f>
        <v>44225</v>
      </c>
      <c r="G99" s="81">
        <f t="shared" si="0"/>
        <v>44232</v>
      </c>
      <c r="H99" s="81">
        <f t="shared" si="0"/>
        <v>44239</v>
      </c>
      <c r="I99" s="81">
        <f t="shared" si="0"/>
        <v>44246</v>
      </c>
      <c r="J99" s="81">
        <f t="shared" si="0"/>
        <v>44253</v>
      </c>
      <c r="K99" s="81">
        <f t="shared" si="0"/>
        <v>44260</v>
      </c>
      <c r="L99" s="81">
        <f t="shared" si="0"/>
        <v>44267</v>
      </c>
      <c r="M99" s="81">
        <f t="shared" si="0"/>
        <v>44274</v>
      </c>
      <c r="N99" s="81">
        <f t="shared" si="0"/>
        <v>44281</v>
      </c>
      <c r="O99" s="81">
        <f t="shared" si="0"/>
        <v>44288</v>
      </c>
      <c r="P99" s="81">
        <f t="shared" si="0"/>
        <v>44295</v>
      </c>
      <c r="Q99" s="81">
        <f t="shared" si="0"/>
        <v>44302</v>
      </c>
      <c r="R99" s="81">
        <f t="shared" si="0"/>
        <v>44309</v>
      </c>
      <c r="S99" s="81">
        <f t="shared" si="0"/>
        <v>44316</v>
      </c>
      <c r="T99" s="81">
        <f t="shared" ref="T99:BC99" si="1">S99+7</f>
        <v>44323</v>
      </c>
      <c r="U99" s="81">
        <f t="shared" si="1"/>
        <v>44330</v>
      </c>
      <c r="V99" s="81">
        <f t="shared" si="1"/>
        <v>44337</v>
      </c>
      <c r="W99" s="81">
        <f t="shared" si="1"/>
        <v>44344</v>
      </c>
      <c r="X99" s="81">
        <f t="shared" si="1"/>
        <v>44351</v>
      </c>
      <c r="Y99" s="81">
        <f t="shared" si="1"/>
        <v>44358</v>
      </c>
      <c r="Z99" s="81">
        <f t="shared" si="1"/>
        <v>44365</v>
      </c>
      <c r="AA99" s="81">
        <f t="shared" si="1"/>
        <v>44372</v>
      </c>
      <c r="AB99" s="81">
        <f t="shared" si="1"/>
        <v>44379</v>
      </c>
      <c r="AC99" s="81">
        <f t="shared" si="1"/>
        <v>44386</v>
      </c>
      <c r="AD99" s="81">
        <f t="shared" si="1"/>
        <v>44393</v>
      </c>
      <c r="AE99" s="81">
        <f t="shared" si="1"/>
        <v>44400</v>
      </c>
      <c r="AF99" s="81">
        <f t="shared" si="1"/>
        <v>44407</v>
      </c>
      <c r="AG99" s="81">
        <f t="shared" si="1"/>
        <v>44414</v>
      </c>
      <c r="AH99" s="81">
        <f t="shared" si="1"/>
        <v>44421</v>
      </c>
      <c r="AI99" s="81">
        <f t="shared" si="1"/>
        <v>44428</v>
      </c>
      <c r="AJ99" s="81">
        <f t="shared" si="1"/>
        <v>44435</v>
      </c>
      <c r="AK99" s="81">
        <f t="shared" si="1"/>
        <v>44442</v>
      </c>
      <c r="AL99" s="81">
        <f t="shared" si="1"/>
        <v>44449</v>
      </c>
      <c r="AM99" s="81">
        <f t="shared" si="1"/>
        <v>44456</v>
      </c>
      <c r="AN99" s="81">
        <f t="shared" si="1"/>
        <v>44463</v>
      </c>
      <c r="AO99" s="81">
        <f t="shared" si="1"/>
        <v>44470</v>
      </c>
      <c r="AP99" s="81">
        <f t="shared" si="1"/>
        <v>44477</v>
      </c>
      <c r="AQ99" s="81">
        <f t="shared" si="1"/>
        <v>44484</v>
      </c>
      <c r="AR99" s="81">
        <f t="shared" si="1"/>
        <v>44491</v>
      </c>
      <c r="AS99" s="81">
        <f t="shared" si="1"/>
        <v>44498</v>
      </c>
      <c r="AT99" s="81">
        <f t="shared" si="1"/>
        <v>44505</v>
      </c>
      <c r="AU99" s="81">
        <f t="shared" si="1"/>
        <v>44512</v>
      </c>
      <c r="AV99" s="81">
        <f t="shared" si="1"/>
        <v>44519</v>
      </c>
      <c r="AW99" s="81">
        <f t="shared" si="1"/>
        <v>44526</v>
      </c>
      <c r="AX99" s="81">
        <f t="shared" si="1"/>
        <v>44533</v>
      </c>
      <c r="AY99" s="81">
        <f t="shared" si="1"/>
        <v>44540</v>
      </c>
      <c r="AZ99" s="81">
        <f t="shared" si="1"/>
        <v>44547</v>
      </c>
      <c r="BA99" s="81">
        <f t="shared" si="1"/>
        <v>44554</v>
      </c>
      <c r="BB99" s="81">
        <f t="shared" si="1"/>
        <v>44561</v>
      </c>
      <c r="BC99" s="81">
        <f t="shared" si="1"/>
        <v>44568</v>
      </c>
    </row>
  </sheetData>
  <mergeCells count="1">
    <mergeCell ref="H4:I4"/>
  </mergeCells>
  <phoneticPr fontId="20" type="noConversion"/>
  <hyperlinks>
    <hyperlink ref="Y98" location="$Y$98" tooltip="Click for more detail" display="$Y$98" xr:uid="{0F75ABDB-AF9E-44CC-95BC-3578EEE0F636}"/>
    <hyperlink ref="Y97" location="$Y$97" tooltip="Click for more detail" display="$Y$97" xr:uid="{15DAE7D8-6AC1-443F-99DD-31031647B603}"/>
    <hyperlink ref="Y96" location="$Y$96" tooltip="Click for more detail" display="$Y$96" xr:uid="{CDA0917D-FE89-4F7A-A018-4BAAD49AFB61}"/>
    <hyperlink ref="Y95" location="$Y$95" tooltip="Click for more detail" display="$Y$95" xr:uid="{020CE07A-EF1E-4CCF-8806-F42CB234E2A7}"/>
    <hyperlink ref="Y94" location="$Y$94" tooltip="Click for more detail" display="$Y$94" xr:uid="{6E624CE1-E1A2-4D1E-9696-972C921AA8C4}"/>
    <hyperlink ref="Y93" location="$Y$93" tooltip="Click for more detail" display="$Y$93" xr:uid="{A6BDC991-7A22-469C-8E7A-9015EFFF0FD0}"/>
    <hyperlink ref="Y92" location="$Y$92" tooltip="Click for more detail" display="$Y$92" xr:uid="{2D9144C8-BB76-4D08-90F4-84FA2FA7EBC7}"/>
    <hyperlink ref="Y91" location="$Y$91" tooltip="Click for more detail" display="$Y$91" xr:uid="{D4DD6C9A-962D-4BC3-B0D2-E1E520A63BF9}"/>
    <hyperlink ref="Y90" location="$Y$90" tooltip="Click for more detail" display="$Y$90" xr:uid="{85D9354A-37C5-44E5-A3B8-7BC7DAA34F4A}"/>
    <hyperlink ref="Y89" location="$Y$89" tooltip="Click for more detail" display="$Y$89" xr:uid="{F34086ED-4D88-4B0D-BC85-7DF37718D14C}"/>
    <hyperlink ref="Y88" location="$Y$88" tooltip="Click for more detail" display="$Y$88" xr:uid="{B6EA2873-0E2B-44E8-9048-CCA83C2FA6BA}"/>
    <hyperlink ref="Z98" location="$Z$98" tooltip="Click for more detail" display="$Z$98" xr:uid="{16D9D57F-9C49-4E86-B40F-B0313664B9B8}"/>
    <hyperlink ref="Z97" location="$Z$97" tooltip="Click for more detail" display="$Z$97" xr:uid="{AD058407-5F97-4132-80AC-1FF52BC77A1F}"/>
    <hyperlink ref="Z96" location="$Z$96" tooltip="Click for more detail" display="$Z$96" xr:uid="{6E6701C0-474B-4DB8-AB48-8D42DBB1EFAA}"/>
    <hyperlink ref="Z95" location="$Z$95" tooltip="Click for more detail" display="$Z$95" xr:uid="{D3BDA210-AC7C-4112-9F0B-48DFF2B4F10F}"/>
    <hyperlink ref="Z94" location="$Z$94" tooltip="Click for more detail" display="$Z$94" xr:uid="{BF5C6FE8-E056-437F-B103-AC6C2D9123F0}"/>
    <hyperlink ref="Z93" location="$Z$93" tooltip="Click for more detail" display="$Z$93" xr:uid="{9EC80057-3896-4504-A321-520BF867B854}"/>
    <hyperlink ref="Z92" location="$Z$92" tooltip="Click for more detail" display="$Z$92" xr:uid="{089E81D9-B04A-4A0C-9EF4-2C189202E068}"/>
    <hyperlink ref="Z91" location="$Z$91" tooltip="Click for more detail" display="$Z$91" xr:uid="{05AAAAFF-7738-4D0C-A9CE-2AC6FC15304C}"/>
    <hyperlink ref="Z90" location="$Z$90" tooltip="Click for more detail" display="$Z$90" xr:uid="{07B741F0-35E5-43C3-9F37-536B68B3B28E}"/>
    <hyperlink ref="Z89" location="$Z$89" tooltip="Click for more detail" display="$Z$89" xr:uid="{5C085FBA-C1F4-4699-96AD-4F2070BBA0ED}"/>
    <hyperlink ref="Z88" location="$Z$88" tooltip="Click for more detail" display="$Z$88" xr:uid="{F9ED004D-4AF9-4D4D-B3CC-43004EB72C6F}"/>
    <hyperlink ref="AA98" location="$AA$98" tooltip="Click for more detail" display="$AA$98" xr:uid="{4E670087-3077-40C1-985A-AF65FE04A322}"/>
    <hyperlink ref="AA97" location="$AA$97" tooltip="Click for more detail" display="$AA$97" xr:uid="{31F99927-56FC-4D37-A63B-21F161CDE3F1}"/>
    <hyperlink ref="AA96" location="$AA$96" tooltip="Click for more detail" display="$AA$96" xr:uid="{F2EBCB3C-4CFA-42D0-829A-4C7F689BB051}"/>
    <hyperlink ref="AA95" location="$AA$95" tooltip="Click for more detail" display="$AA$95" xr:uid="{7747EBC1-2197-4E92-8AC0-10E307FD20E8}"/>
    <hyperlink ref="AA94" location="$AA$94" tooltip="Click for more detail" display="$AA$94" xr:uid="{51A8D891-9479-4C50-BDCA-6EF153AE0478}"/>
    <hyperlink ref="AA93" location="$AA$93" tooltip="Click for more detail" display="$AA$93" xr:uid="{AB37020D-640A-4FE6-8968-2B97953EF0F8}"/>
    <hyperlink ref="AA92" location="$AA$92" tooltip="Click for more detail" display="$AA$92" xr:uid="{55E33572-C0A5-4BF6-9AE0-57B21F54EBC9}"/>
    <hyperlink ref="AA91" location="$AA$91" tooltip="Click for more detail" display="$AA$91" xr:uid="{2DDF602F-F907-49BE-8B96-F758224C9B27}"/>
    <hyperlink ref="AA90" location="$AA$90" tooltip="Click for more detail" display="$AA$90" xr:uid="{81D452A6-42A6-48A5-9B5C-59A53BBDB5F9}"/>
    <hyperlink ref="AB98" location="$AB$98" tooltip="Click for more detail" display="$AB$98" xr:uid="{56427980-E296-439B-9B89-52F6E83A6977}"/>
    <hyperlink ref="AB97" location="$AB$97" tooltip="Click for more detail" display="$AB$97" xr:uid="{581F1A4A-F3BE-43D6-854C-CD30FDFB19E2}"/>
    <hyperlink ref="AB96" location="$AB$96" tooltip="Click for more detail" display="$AB$96" xr:uid="{5EB0D400-04D3-42C4-92DD-1DB76C123C45}"/>
    <hyperlink ref="AB95" location="$AB$95" tooltip="Click for more detail" display="$AB$95" xr:uid="{B637DFD3-3F83-44C6-83AE-56AB42041A45}"/>
    <hyperlink ref="AB94" location="$AB$94" tooltip="Click for more detail" display="$AB$94" xr:uid="{EAF8B3D2-8F71-415A-8888-80BF1A37004D}"/>
    <hyperlink ref="AB93" location="$AB$93" tooltip="Click for more detail" display="$AB$93" xr:uid="{B73752AA-A837-4D67-A959-6964B7DA2799}"/>
    <hyperlink ref="AB92" location="$AB$92" tooltip="Click for more detail" display="$AB$92" xr:uid="{F73986EA-6786-46AB-A861-5262B120C54D}"/>
    <hyperlink ref="AB91" location="$AB$91" tooltip="Click for more detail" display="$AB$91" xr:uid="{AB743A28-A0FF-4CC1-83DC-99A8FC5B340C}"/>
    <hyperlink ref="AB90" location="$AB$90" tooltip="Click for more detail" display="$AB$90" xr:uid="{C45F62E1-D765-4093-A459-E0DF8B61B479}"/>
    <hyperlink ref="AB89" location="$AB$89" tooltip="Click for more detail" display="$AB$89" xr:uid="{F11E2FDD-F9A0-4DC6-A4B8-70A807B93931}"/>
    <hyperlink ref="AB88" location="$AB$88" tooltip="Click for more detail" display="$AB$88" xr:uid="{D8274748-9325-4B2C-BFAF-82C63AE525BF}"/>
    <hyperlink ref="AB87" location="$AB$87" tooltip="Click for more detail" display="$AB$87" xr:uid="{42E184B0-BF36-4490-A159-674AF47B8FE2}"/>
    <hyperlink ref="AB86" location="$AB$86" tooltip="Click for more detail" display="$AB$86" xr:uid="{ED457FE5-94CC-4000-B8D7-1F4A87759F83}"/>
    <hyperlink ref="AB85" location="$AB$85" tooltip="Click for more detail" display="$AB$85" xr:uid="{617D9B90-8786-49BE-9922-D90FFC205976}"/>
    <hyperlink ref="AB84" location="$AB$84" tooltip="Click for more detail" display="$AB$84" xr:uid="{2D29A78A-391D-4B30-B7B2-ED2929E39F60}"/>
    <hyperlink ref="AB83" location="$AB$83" tooltip="Click for more detail" display="$AB$83" xr:uid="{98D1F783-9FEB-49BF-B30E-4A7432FBA956}"/>
    <hyperlink ref="AB82" location="$AB$82" tooltip="Click for more detail" display="$AB$82" xr:uid="{48DB2A8D-FC79-4C84-A197-BA82FDDF7558}"/>
    <hyperlink ref="AC98" location="$AC$98" tooltip="Click for more detail" display="$AC$98" xr:uid="{03A8F294-8C1D-415A-A361-D1C3F30AEF79}"/>
    <hyperlink ref="AC97" location="$AC$97" tooltip="Click for more detail" display="$AC$97" xr:uid="{6585045B-A0BD-4EB8-BB0A-302B68A6CCE0}"/>
    <hyperlink ref="AC96" location="$AC$96" tooltip="Click for more detail" display="$AC$96" xr:uid="{446307A1-85D0-47AC-ABF6-5A0655524C1E}"/>
    <hyperlink ref="AC95" location="$AC$95" tooltip="Click for more detail" display="$AC$95" xr:uid="{91E226E5-8E4E-41A9-9975-DDF7CBA5947D}"/>
    <hyperlink ref="AC94" location="$AC$94" tooltip="Click for more detail" display="$AC$94" xr:uid="{64269DD1-6248-433D-AD2E-A21187A1BD9E}"/>
    <hyperlink ref="AC93" location="$AC$93" tooltip="Click for more detail" display="$AC$93" xr:uid="{9D6CA5EE-6248-4C22-B68B-06D079EB704A}"/>
    <hyperlink ref="AC92" location="$AC$92" tooltip="Click for more detail" display="$AC$92" xr:uid="{D1D0F58C-8AA1-4986-AF5C-7B429C2C1DC5}"/>
    <hyperlink ref="AC91" location="$AC$91" tooltip="Click for more detail" display="$AC$91" xr:uid="{50410A59-9147-4E06-ABCE-E4E61FD1D50E}"/>
    <hyperlink ref="AC90" location="$AC$90" tooltip="Click for more detail" display="$AC$90" xr:uid="{352E4FB2-6B41-4414-859E-1DF72614FF27}"/>
    <hyperlink ref="AC89" location="$AC$89" tooltip="Click for more detail" display="$AC$89" xr:uid="{3A23B6F4-8A4D-4175-A3F3-929430E60B31}"/>
    <hyperlink ref="AC88" location="$AC$88" tooltip="Click for more detail" display="$AC$88" xr:uid="{0F8203FF-42C7-47C0-8091-A738738D7414}"/>
    <hyperlink ref="AC87" location="$AC$87" tooltip="Click for more detail" display="$AC$87" xr:uid="{3AA98AA6-DC1E-4D41-9A52-0C38F044CF08}"/>
    <hyperlink ref="AC86" location="$AC$86" tooltip="Click for more detail" display="$AC$86" xr:uid="{37C5A206-F4B7-4847-B84F-DAA9D66CA3CC}"/>
    <hyperlink ref="AD98" location="$AD$98" tooltip="Click for more detail" display="$AD$98" xr:uid="{EC2BEC43-BB2F-4B33-AAFA-E8E755431852}"/>
    <hyperlink ref="AD97" location="$AD$97" tooltip="Click for more detail" display="$AD$97" xr:uid="{DFDB034F-4595-4272-B1A0-83F603395B96}"/>
    <hyperlink ref="AD96" location="$AD$96" tooltip="Click for more detail" display="$AD$96" xr:uid="{66B8ABC9-8C5B-41B1-A26F-88ABD7EBBF0E}"/>
    <hyperlink ref="AD95" location="$AD$95" tooltip="Click for more detail" display="$AD$95" xr:uid="{2DB1FE6C-5E0C-40ED-92CD-EB9C7128E6A2}"/>
    <hyperlink ref="AD94" location="$AD$94" tooltip="Click for more detail" display="$AD$94" xr:uid="{68576CE3-75CF-494D-81EB-2A584CC7D008}"/>
    <hyperlink ref="AD93" location="$AD$93" tooltip="Click for more detail" display="$AD$93" xr:uid="{A7D15984-0B5B-417C-A58D-B8A7DA22C335}"/>
    <hyperlink ref="AD92" location="$AD$92" tooltip="Click for more detail" display="$AD$92" xr:uid="{B7DD4F9D-52E0-44EF-B7FB-DF38C97F0C41}"/>
    <hyperlink ref="AD91" location="$AD$91" tooltip="Click for more detail" display="$AD$91" xr:uid="{440F9A54-C650-493D-A048-DC8C9744546E}"/>
    <hyperlink ref="AD90" location="$AD$90" tooltip="Click for more detail" display="$AD$90" xr:uid="{9F3B01C7-C632-4277-9A48-3EE7ABF4E51B}"/>
    <hyperlink ref="AD89" location="$AD$89" tooltip="Click for more detail" display="$AD$89" xr:uid="{99EF72D1-FBD1-4D5C-8FC8-7CA2E2285C0C}"/>
    <hyperlink ref="AD88" location="$AD$88" tooltip="Click for more detail" display="$AD$88" xr:uid="{1074E131-6959-4D45-9ED7-FB9D42C2D962}"/>
    <hyperlink ref="AD87" location="$AD$87" tooltip="Click for more detail" display="$AD$87" xr:uid="{855484BC-4AD0-4103-A913-6E36F868AC44}"/>
    <hyperlink ref="AD86" location="$AD$86" tooltip="Click for more detail" display="$AD$86" xr:uid="{93ECD2E8-CA6C-46A3-8C74-3DCA8C526E86}"/>
    <hyperlink ref="AD85" location="$AD$85" tooltip="Click for more detail" display="$AD$85" xr:uid="{A4BEF08C-26C1-45C6-87A1-71822D9AA6AF}"/>
    <hyperlink ref="AD84" location="$AD$84" tooltip="Click for more detail" display="$AD$84" xr:uid="{4FE91FB6-475E-4CAC-B32A-9681C79894E8}"/>
    <hyperlink ref="AD83" location="$AD$83" tooltip="Click for more detail" display="$AD$83" xr:uid="{90A13F8C-22E8-4F6A-8833-959C5B2A455F}"/>
    <hyperlink ref="AD82" location="$AD$82" tooltip="Click for more detail" display="$AD$82" xr:uid="{878B22CD-B54D-4FCD-BA12-D1C3910A53D7}"/>
    <hyperlink ref="AD81" location="$AD$81" tooltip="Click for more detail" display="$AD$81" xr:uid="{9AA96A93-7FF9-44D6-9D34-C0C7C6C7A9EC}"/>
    <hyperlink ref="AD80" location="$AD$80" tooltip="Click for more detail" display="$AD$80" xr:uid="{5D21E8E9-A2C8-4CCF-80AE-5C89F63B1A4C}"/>
    <hyperlink ref="AD79" location="$AD$79" tooltip="Click for more detail" display="$AD$79" xr:uid="{BB52CD66-B5C5-4947-941F-FB07CBEE43A0}"/>
    <hyperlink ref="AD78" location="$AD$78" tooltip="Click for more detail" display="$AD$78" xr:uid="{0536D714-27B3-4DC4-8C40-75BC1F009201}"/>
    <hyperlink ref="AD77" location="$AD$77" tooltip="Click for more detail" display="$AD$77" xr:uid="{147F7957-C102-4846-BCA5-6F9689702382}"/>
    <hyperlink ref="AD76" location="$AD$76" tooltip="Click for more detail" display="$AD$76" xr:uid="{DAF29530-7B93-4EFE-AD98-94454671680F}"/>
    <hyperlink ref="AD75" location="$AD$75" tooltip="Click for more detail" display="$AD$75" xr:uid="{0C084675-FBC9-4EC1-AF69-2F8BA8586DBD}"/>
    <hyperlink ref="AD74" location="$AD$74" tooltip="Click for more detail" display="$AD$74" xr:uid="{097CDF90-2D7E-45CE-9303-B3D3EED1E68E}"/>
    <hyperlink ref="AD73" location="$AD$73" tooltip="Click for more detail" display="$AD$73" xr:uid="{ADBAD690-748D-4280-A5F4-2E15877178AB}"/>
    <hyperlink ref="AD72" location="$AD$72" tooltip="Click for more detail" display="$AD$72" xr:uid="{2F2D76F2-B01E-4E56-8B7E-CDAF2D8D7527}"/>
    <hyperlink ref="AD71" location="$AD$71" tooltip="Click for more detail" display="$AD$71" xr:uid="{A0FD48BF-20E1-4AAA-94B8-ACF46F4A088C}"/>
    <hyperlink ref="AD70" location="$AD$70" tooltip="Click for more detail" display="$AD$70" xr:uid="{DE50FE0E-FA10-4114-81DD-C935F69A8D83}"/>
    <hyperlink ref="AD69" location="$AD$69" tooltip="Click for more detail" display="$AD$69" xr:uid="{C1EA58F2-1F43-44E3-BC9A-A6583AC38ECD}"/>
    <hyperlink ref="AD68" location="$AD$68" tooltip="Click for more detail" display="$AD$68" xr:uid="{9DC52543-73C2-4EAA-A5EB-C3B752161685}"/>
    <hyperlink ref="AD67" location="$AD$67" tooltip="Click for more detail" display="$AD$67" xr:uid="{5285DDD9-309A-44EE-87D4-A9DD7C37860E}"/>
    <hyperlink ref="AD66" location="$AD$66" tooltip="Click for more detail" display="$AD$66" xr:uid="{4456AE00-A87B-4152-855B-94F53462F1A5}"/>
    <hyperlink ref="AD65" location="$AD$65" tooltip="Click for more detail" display="$AD$65" xr:uid="{77604EB9-2910-470B-9F80-F7C7422CAA65}"/>
    <hyperlink ref="AD64" location="$AD$64" tooltip="Click for more detail" display="$AD$64" xr:uid="{7914B46D-7C75-4D11-8C03-598A8783BA6D}"/>
    <hyperlink ref="AD63" location="$AD$63" tooltip="Click for more detail" display="$AD$63" xr:uid="{8325A662-21D3-4E92-803D-7774C4620B0D}"/>
    <hyperlink ref="AD62" location="$AD$62" tooltip="Click for more detail" display="$AD$62" xr:uid="{95BBBD6C-2E2B-43E1-B819-71A19C591F24}"/>
    <hyperlink ref="AD61" location="$AD$61" tooltip="Click for more detail" display="$AD$61" xr:uid="{F0F22FB7-C494-4C98-B2BE-6789F14E4776}"/>
    <hyperlink ref="AD60" location="$AD$60" tooltip="Click for more detail" display="$AD$60" xr:uid="{B31FA44D-07CE-4365-BDA9-F9F0674B22EC}"/>
    <hyperlink ref="AD59" location="$AD$59" tooltip="Click for more detail" display="$AD$59" xr:uid="{C6E45A38-56C9-4BD8-9EFD-A3AFC76DBF66}"/>
    <hyperlink ref="AD58" location="$AD$58" tooltip="Click for more detail" display="$AD$58" xr:uid="{6B631911-4DDB-4B03-AF4D-A91D6B0FE088}"/>
    <hyperlink ref="AD57" location="$AD$57" tooltip="Click for more detail" display="$AD$57" xr:uid="{274376F9-3775-46BF-ABAE-D72D29F74749}"/>
    <hyperlink ref="AD56" location="$AD$56" tooltip="Click for more detail" display="$AD$56" xr:uid="{B0C34584-14AB-4D23-8D30-C5FC551AC111}"/>
    <hyperlink ref="AD55" location="$AD$55" tooltip="Click for more detail" display="$AD$55" xr:uid="{287F932F-0BEC-4922-8DAD-594E685785C5}"/>
    <hyperlink ref="AD54" location="$AD$54" tooltip="Click for more detail" display="$AD$54" xr:uid="{EC472F1D-D759-46AC-B8DB-D178615B18B3}"/>
    <hyperlink ref="AE98" location="$AE$98" tooltip="Click for more detail" display="$AE$98" xr:uid="{50FDE4FA-FD2F-4DC2-97D8-82818831DFF5}"/>
    <hyperlink ref="AE97" location="$AE$97" tooltip="Click for more detail" display="$AE$97" xr:uid="{0F188417-25FC-4BED-8785-22675AE3C49B}"/>
    <hyperlink ref="AE96" location="$AE$96" tooltip="Click for more detail" display="$AE$96" xr:uid="{0AD971C5-FBEB-49CF-9D38-88FC27659B64}"/>
    <hyperlink ref="AE95" location="$AE$95" tooltip="Click for more detail" display="$AE$95" xr:uid="{D988B905-D491-486B-BCCE-08D36D4273E6}"/>
    <hyperlink ref="AE94" location="$AE$94" tooltip="Click for more detail" display="$AE$94" xr:uid="{12F59B5C-8AF0-4214-A90A-8AD079F99E50}"/>
    <hyperlink ref="AE93" location="$AE$93" tooltip="Click for more detail" display="$AE$93" xr:uid="{F7354D87-7F73-448C-9A3F-875E5638C4F2}"/>
    <hyperlink ref="AE92" location="$AE$92" tooltip="Click for more detail" display="$AE$92" xr:uid="{B0E712A5-7C77-44E0-9B17-309F6E5765A2}"/>
    <hyperlink ref="AE91" location="$AE$91" tooltip="Click for more detail" display="$AE$91" xr:uid="{367C7804-3B79-4DA1-A021-068B05A49062}"/>
    <hyperlink ref="AE90" location="$AE$90" tooltip="Click for more detail" display="$AE$90" xr:uid="{DC836F30-7810-4228-B493-E0D596DFDCC9}"/>
    <hyperlink ref="AE89" location="$AE$89" tooltip="Click for more detail" display="$AE$89" xr:uid="{3A7D0A74-2EE3-4F14-B9A3-B376932F6CAC}"/>
    <hyperlink ref="AE88" location="$AE$88" tooltip="Click for more detail" display="$AE$88" xr:uid="{71E95719-F978-4E92-953D-D4F53FFABEFC}"/>
    <hyperlink ref="AE87" location="$AE$87" tooltip="Click for more detail" display="$AE$87" xr:uid="{42C8BFD4-6046-4A0A-B092-2F33B1C45230}"/>
    <hyperlink ref="AE86" location="$AE$86" tooltip="Click for more detail" display="$AE$86" xr:uid="{3EB6A600-9461-4A29-8843-DC1060C91E3F}"/>
    <hyperlink ref="AE85" location="$AE$85" tooltip="Click for more detail" display="$AE$85" xr:uid="{D113C22F-34AA-4C8E-9E0F-ACA631183DD2}"/>
    <hyperlink ref="AE84" location="$AE$84" tooltip="Click for more detail" display="$AE$84" xr:uid="{81850A82-2A9A-4444-8E07-0445D8EC45DE}"/>
    <hyperlink ref="AE83" location="$AE$83" tooltip="Click for more detail" display="$AE$83" xr:uid="{8972938C-B894-4560-AD17-1636B535BACD}"/>
    <hyperlink ref="AE82" location="$AE$82" tooltip="Click for more detail" display="$AE$82" xr:uid="{CB1AEE1F-887E-4EF0-8C28-971308BE375B}"/>
    <hyperlink ref="AE81" location="$AE$81" tooltip="Click for more detail" display="$AE$81" xr:uid="{04309ABC-6F6C-44B0-A615-55691F075F07}"/>
    <hyperlink ref="AE80" location="$AE$80" tooltip="Click for more detail" display="$AE$80" xr:uid="{1F0213DB-828E-46BB-8A0E-04C6249FDC9C}"/>
    <hyperlink ref="AE79" location="$AE$79" tooltip="Click for more detail" display="$AE$79" xr:uid="{F11F5708-D424-438E-B1D2-553A264BB642}"/>
    <hyperlink ref="AE78" location="$AE$78" tooltip="Click for more detail" display="$AE$78" xr:uid="{5F0277EE-B23E-481C-BC41-2692E1C564E9}"/>
    <hyperlink ref="AE77" location="$AE$77" tooltip="Click for more detail" display="$AE$77" xr:uid="{5753F734-E201-44F1-99F2-C1FCE9830E0C}"/>
    <hyperlink ref="AF98" location="$AF$98" tooltip="Click for more detail" display="$AF$98" xr:uid="{9830AFDE-F2EA-470B-B5C9-E6A68C5EBCAF}"/>
    <hyperlink ref="AF97" location="$AF$97" tooltip="Click for more detail" display="$AF$97" xr:uid="{182DC114-58AB-4901-8F11-645648128CB2}"/>
    <hyperlink ref="AF96" location="$AF$96" tooltip="Click for more detail" display="$AF$96" xr:uid="{D62B6510-9761-43EF-A18C-B8887688D65F}"/>
    <hyperlink ref="AF95" location="$AF$95" tooltip="Click for more detail" display="$AF$95" xr:uid="{1B9DF738-6750-439B-9BCE-950591B6A8B5}"/>
    <hyperlink ref="AF94" location="$AF$94" tooltip="Click for more detail" display="$AF$94" xr:uid="{417EF92A-61FE-4663-B40A-666FFD579E8F}"/>
    <hyperlink ref="AF93" location="$AF$93" tooltip="Click for more detail" display="$AF$93" xr:uid="{88A02491-0534-4387-9D32-3D7F4DD7A514}"/>
    <hyperlink ref="AF92" location="$AF$92" tooltip="Click for more detail" display="$AF$92" xr:uid="{E2A24401-69A0-4ADB-B6F3-802BADEF754F}"/>
    <hyperlink ref="AF91" location="$AF$91" tooltip="Click for more detail" display="$AF$91" xr:uid="{3A81BAAB-783F-4A45-B94D-B0267530F62D}"/>
    <hyperlink ref="AF90" location="$AF$90" tooltip="Click for more detail" display="$AF$90" xr:uid="{64C60C72-FBE0-4368-8D46-20F83833C5B6}"/>
    <hyperlink ref="AF89" location="$AF$89" tooltip="Click for more detail" display="$AF$89" xr:uid="{788D791A-6509-4C30-97FC-B8AB4ED282F5}"/>
    <hyperlink ref="AF88" location="$AF$88" tooltip="Click for more detail" display="$AF$88" xr:uid="{87C1FA13-5CE8-4781-A8E2-2E480DA2EA1E}"/>
    <hyperlink ref="AF87" location="$AF$87" tooltip="Click for more detail" display="$AF$87" xr:uid="{BF2A1CC9-9DE3-4077-BC98-B3D99F09E0A2}"/>
    <hyperlink ref="AF86" location="$AF$86" tooltip="Click for more detail" display="$AF$86" xr:uid="{5135144A-DC72-49BC-BD7F-0699A4FE0EB5}"/>
    <hyperlink ref="AF85" location="$AF$85" tooltip="Click for more detail" display="$AF$85" xr:uid="{79CE11BF-86EE-4E7F-8791-DDFEB42E2779}"/>
    <hyperlink ref="AF84" location="$AF$84" tooltip="Click for more detail" display="$AF$84" xr:uid="{A2131E94-48EE-47D0-81FE-0F2DD0E14023}"/>
    <hyperlink ref="AF83" location="$AF$83" tooltip="Click for more detail" display="$AF$83" xr:uid="{75C62D50-12E1-4A72-9456-8B3D99BAE05D}"/>
    <hyperlink ref="AF82" location="$AF$82" tooltip="Click for more detail" display="$AF$82" xr:uid="{161C8FB6-9BE3-4DEB-A236-5CCBD83C1F49}"/>
    <hyperlink ref="AF81" location="$AF$81" tooltip="Click for more detail" display="$AF$81" xr:uid="{76D55F3B-DFBE-4A13-A331-86F193C8734C}"/>
    <hyperlink ref="AF80" location="$AF$80" tooltip="Click for more detail" display="$AF$80" xr:uid="{7E9CF7F6-0BA3-4218-940D-E69D544998D4}"/>
    <hyperlink ref="AF79" location="$AF$79" tooltip="Click for more detail" display="$AF$79" xr:uid="{774F3747-FFC8-4015-9A98-BD140C2B40D8}"/>
    <hyperlink ref="AF78" location="$AF$78" tooltip="Click for more detail" display="$AF$78" xr:uid="{EA54718A-9495-416F-9A3F-51BD0F7D3635}"/>
    <hyperlink ref="AF77" location="$AF$77" tooltip="Click for more detail" display="$AF$77" xr:uid="{A9E3628C-DABF-4D6B-A7B9-5DE226E28D86}"/>
    <hyperlink ref="AF76" location="$AF$76" tooltip="Click for more detail" display="$AF$76" xr:uid="{306FF3F4-1ACB-4BB9-AEBF-E10C3E806AEF}"/>
    <hyperlink ref="AF75" location="$AF$75" tooltip="Click for more detail" display="$AF$75" xr:uid="{7B4E4C87-9A18-442A-B17D-3FCC0A2E7DD1}"/>
    <hyperlink ref="AF74" location="$AF$74" tooltip="Click for more detail" display="$AF$74" xr:uid="{24E423D6-B63F-424F-8E13-72C865DBA595}"/>
    <hyperlink ref="AF73" location="$AF$73" tooltip="Click for more detail" display="$AF$73" xr:uid="{56AB8F6E-4CCE-4734-891D-143F71DC93DB}"/>
    <hyperlink ref="AF72" location="$AF$72" tooltip="Click for more detail" display="$AF$72" xr:uid="{E2941C72-1749-4736-9D83-5A4D9F1704D4}"/>
    <hyperlink ref="AF71" location="$AF$71" tooltip="Click for more detail" display="$AF$71" xr:uid="{78CF63B6-4F62-4840-B7E3-A79779B47B9F}"/>
    <hyperlink ref="AF70" location="$AF$70" tooltip="Click for more detail" display="$AF$70" xr:uid="{05C36D57-74D0-4389-9708-EA03ABDF852A}"/>
    <hyperlink ref="AF69" location="$AF$69" tooltip="Click for more detail" display="$AF$69" xr:uid="{627C7630-F9B4-4FB7-AA20-3D83BA3D76F5}"/>
    <hyperlink ref="AF68" location="$AF$68" tooltip="Click for more detail" display="$AF$68" xr:uid="{7BCC0B71-3A75-40E5-AF0F-A98FCA8042A5}"/>
    <hyperlink ref="AF67" location="$AF$67" tooltip="Click for more detail" display="$AF$67" xr:uid="{2275AD32-711C-4C76-97B5-A91E2A163DC2}"/>
    <hyperlink ref="AF66" location="$AF$66" tooltip="Click for more detail" display="$AF$66" xr:uid="{953770BD-D5A1-430F-A890-A7FAB9702D5A}"/>
    <hyperlink ref="AF65" location="$AF$65" tooltip="Click for more detail" display="$AF$65" xr:uid="{D19807EA-442C-4DD1-A394-E94643D7F7DB}"/>
    <hyperlink ref="AF64" location="$AF$64" tooltip="Click for more detail" display="$AF$64" xr:uid="{4A19D542-25D7-458C-B081-96BF037EE0A6}"/>
    <hyperlink ref="AF63" location="$AF$63" tooltip="Click for more detail" display="$AF$63" xr:uid="{91ECC355-7E25-4E4D-ADBF-F4A7B223B8D5}"/>
    <hyperlink ref="AF62" location="$AF$62" tooltip="Click for more detail" display="$AF$62" xr:uid="{86D7F734-DA1C-44DC-9118-309090E13AFA}"/>
    <hyperlink ref="AF61" location="$AF$61" tooltip="Click for more detail" display="$AF$61" xr:uid="{1EA7CA8C-B1F4-4CFE-91D3-8FB8C15B6A6B}"/>
    <hyperlink ref="AF60" location="$AF$60" tooltip="Click for more detail" display="$AF$60" xr:uid="{D42728EF-0636-4F1F-96AA-7BB705081C73}"/>
    <hyperlink ref="AF59" location="$AF$59" tooltip="Click for more detail" display="$AF$59" xr:uid="{A62A51FE-31FC-457F-9E32-939C5DC51F22}"/>
    <hyperlink ref="AF58" location="$AF$58" tooltip="Click for more detail" display="$AF$58" xr:uid="{64F93E08-25DA-45BD-8210-1EAAC9FD6ADF}"/>
    <hyperlink ref="AF57" location="$AF$57" tooltip="Click for more detail" display="$AF$57" xr:uid="{C3358571-B95E-4993-8852-EE77AC62136E}"/>
    <hyperlink ref="AF56" location="$AF$56" tooltip="Click for more detail" display="$AF$56" xr:uid="{0D491B8A-1F05-4CA9-AC7A-C003BC2069C7}"/>
    <hyperlink ref="AF55" location="$AF$55" tooltip="Click for more detail" display="$AF$55" xr:uid="{20CEF46B-CFD3-4730-B649-14FBA9C354BF}"/>
    <hyperlink ref="AF54" location="$AF$54" tooltip="Click for more detail" display="$AF$54" xr:uid="{D555A5A3-18BF-4AA5-B427-CB0481352751}"/>
    <hyperlink ref="AF53" location="$AF$53" tooltip="Click for more detail" display="$AF$53" xr:uid="{1375F02C-131B-4500-83FD-AF057B790710}"/>
    <hyperlink ref="AF52" location="$AF$52" tooltip="Click for more detail" display="$AF$52" xr:uid="{7F498822-5026-43BF-A747-E7E65816B981}"/>
    <hyperlink ref="AF51" location="$AF$51" tooltip="Click for more detail" display="$AF$51" xr:uid="{442A61B4-63E9-4B4C-83D9-80A1C0060C73}"/>
    <hyperlink ref="AF50" location="$AF$50" tooltip="Click for more detail" display="$AF$50" xr:uid="{52E6DC6F-CDC4-476C-8F70-819D3001E5D8}"/>
    <hyperlink ref="AF49" location="$AF$49" tooltip="Click for more detail" display="$AF$49" xr:uid="{419028CD-B11C-4B2C-BE9A-1894A326B664}"/>
    <hyperlink ref="AF48" location="$AF$48" tooltip="Click for more detail" display="$AF$48" xr:uid="{D473F16E-B1F9-42FD-B5BC-C7C3CE4E0A5F}"/>
    <hyperlink ref="AF47" location="$AF$47" tooltip="Click for more detail" display="$AF$47" xr:uid="{677E29D9-45DA-4046-9BB1-4B608D832897}"/>
    <hyperlink ref="AF46" location="$AF$46" tooltip="Click for more detail" display="$AF$46" xr:uid="{8A297B3B-2B6B-4905-8563-786931893641}"/>
    <hyperlink ref="AF45" location="$AF$45" tooltip="Click for more detail" display="$AF$45" xr:uid="{31B94833-7227-4FB5-B9DD-4C240FB07FA9}"/>
    <hyperlink ref="AF44" location="$AF$44" tooltip="Click for more detail" display="$AF$44" xr:uid="{FDACA44B-C68B-41E4-B2D3-57217FA6C9E5}"/>
    <hyperlink ref="AF43" location="$AF$43" tooltip="Click for more detail" display="$AF$43" xr:uid="{B7BF6214-ABBF-4B31-AC64-9F2E9A274368}"/>
    <hyperlink ref="AF42" location="$AF$42" tooltip="Click for more detail" display="$AF$42" xr:uid="{B006B849-ED6B-41A5-9F11-2890211F479B}"/>
    <hyperlink ref="AF41" location="$AF$41" tooltip="Click for more detail" display="$AF$41" xr:uid="{EDB9BDF0-D3AB-4CBE-BA0D-D54491D7254E}"/>
    <hyperlink ref="AF40" location="$AF$40" tooltip="Click for more detail" display="$AF$40" xr:uid="{82C3DED0-2A5F-49AA-AEC4-556FCE5C3B1B}"/>
    <hyperlink ref="AF39" location="$AF$39" tooltip="Click for more detail" display="$AF$39" xr:uid="{0453C123-BA82-41FD-A5E3-8CB4A58905AE}"/>
    <hyperlink ref="AG98" location="$AG$98" tooltip="Click for more detail" display="$AG$98" xr:uid="{EA41B8B0-1670-4293-A42B-B357E21B4308}"/>
    <hyperlink ref="AG97" location="$AG$97" tooltip="Click for more detail" display="$AG$97" xr:uid="{4E40CCFA-C14F-4FF6-A099-671E0CCA245D}"/>
    <hyperlink ref="AG96" location="$AG$96" tooltip="Click for more detail" display="$AG$96" xr:uid="{DE469DC2-0C25-439B-BB79-6A1B477A313C}"/>
    <hyperlink ref="AG95" location="$AG$95" tooltip="Click for more detail" display="$AG$95" xr:uid="{FF9D4473-FBE3-4AF8-89F1-1D6FD57F9BAA}"/>
    <hyperlink ref="AH98" location="$AH$98" tooltip="Click for more detail" display="$AH$98" xr:uid="{D19DE7E7-D905-4970-B750-F035D09BDEC6}"/>
    <hyperlink ref="AH97" location="$AH$97" tooltip="Click for more detail" display="$AH$97" xr:uid="{18ADAA2A-9E6E-44D2-A65D-D0FEAF875AAA}"/>
    <hyperlink ref="AH96" location="$AH$96" tooltip="Click for more detail" display="$AH$96" xr:uid="{5280946D-BC77-4183-955E-C788EF0E5065}"/>
    <hyperlink ref="AI98" location="$AI$98" tooltip="Click for more detail" display="$AI$98" xr:uid="{42435501-6C4A-4CE1-8FB2-246B235C3ABA}"/>
    <hyperlink ref="AI97" location="$AI$97" tooltip="Click for more detail" display="$AI$97" xr:uid="{6AD0B7BB-0306-4AC4-9CC1-4DC5038CB2F9}"/>
    <hyperlink ref="AI96" location="$AI$96" tooltip="Click for more detail" display="$AI$96" xr:uid="{A2E503AA-67B0-4D15-817C-B446388C796E}"/>
    <hyperlink ref="AI95" location="$AI$95" tooltip="Click for more detail" display="$AI$95" xr:uid="{41D20D53-1E7E-43D0-AF97-D76FA61AED12}"/>
    <hyperlink ref="AI94" location="$AI$94" tooltip="Click for more detail" display="$AI$94" xr:uid="{CA56F136-F2C7-414B-A0DE-2C4242FAC536}"/>
    <hyperlink ref="AI93" location="$AI$93" tooltip="Click for more detail" display="$AI$93" xr:uid="{1FBC724C-7861-4250-B581-D0334FAA7C3E}"/>
    <hyperlink ref="AI92" location="$AI$92" tooltip="Click for more detail" display="$AI$92" xr:uid="{34859991-C280-4F58-8AF3-86EDFF90D5F8}"/>
    <hyperlink ref="AI91" location="$AI$91" tooltip="Click for more detail" display="$AI$91" xr:uid="{A11609D4-F269-4020-A57A-88CE2CEF534C}"/>
    <hyperlink ref="AI90" location="$AI$90" tooltip="Click for more detail" display="$AI$90" xr:uid="{5F563733-CE4B-4752-996B-0831EE43DEDF}"/>
    <hyperlink ref="AI89" location="$AI$89" tooltip="Click for more detail" display="$AI$89" xr:uid="{96EC9ACE-BA2B-426A-A7FC-21CD87E83EE6}"/>
    <hyperlink ref="AI88" location="$AI$88" tooltip="Click for more detail" display="$AI$88" xr:uid="{1E2A4057-2184-4914-AB86-30793E386086}"/>
    <hyperlink ref="AI87" location="$AI$87" tooltip="Click for more detail" display="$AI$87" xr:uid="{F5870933-4F2E-4A27-B923-043105FA4459}"/>
    <hyperlink ref="AJ98" location="$AJ$98" tooltip="Click for more detail" display="$AJ$98" xr:uid="{CB8A3118-F1BA-419F-9BD5-EBB378BB21AE}"/>
    <hyperlink ref="AJ97" location="$AJ$97" tooltip="Click for more detail" display="$AJ$97" xr:uid="{29D7F60D-2B39-484C-9EAC-6E4C6F116600}"/>
    <hyperlink ref="AJ96" location="$AJ$96" tooltip="Click for more detail" display="$AJ$96" xr:uid="{09A6EAA0-1716-4A64-B912-51DACDB1FD07}"/>
    <hyperlink ref="AJ95" location="$AJ$95" tooltip="Click for more detail" display="$AJ$95" xr:uid="{B98335ED-B13B-4AE2-BDE2-89D823F61232}"/>
    <hyperlink ref="AJ94" location="$AJ$94" tooltip="Click for more detail" display="$AJ$94" xr:uid="{FBEF6DA0-2733-4D38-BED4-3397C5C50F2B}"/>
    <hyperlink ref="AJ93" location="$AJ$93" tooltip="Click for more detail" display="$AJ$93" xr:uid="{C5266CD9-3273-4376-BA92-D24590A97B37}"/>
    <hyperlink ref="AJ92" location="$AJ$92" tooltip="Click for more detail" display="$AJ$92" xr:uid="{46B700FE-D7F3-4D8D-ADB5-AD9D633D6B40}"/>
    <hyperlink ref="AJ91" location="$AJ$91" tooltip="Click for more detail" display="$AJ$91" xr:uid="{EF161944-3F4A-41DC-A376-0346E55A32EC}"/>
    <hyperlink ref="AJ90" location="$AJ$90" tooltip="Click for more detail" display="$AJ$90" xr:uid="{2487A0BD-91DD-4408-B735-D9AEA99623BB}"/>
    <hyperlink ref="AJ89" location="$AJ$89" tooltip="Click for more detail" display="$AJ$89" xr:uid="{1A6E2546-E25A-469B-82A8-F54F21EC1720}"/>
    <hyperlink ref="AJ88" location="$AJ$88" tooltip="Click for more detail" display="$AJ$88" xr:uid="{E03DA61E-3915-4FC2-A221-70F0A905F619}"/>
    <hyperlink ref="AJ87" location="$AJ$87" tooltip="Click for more detail" display="$AJ$87" xr:uid="{B7AA7904-A4DE-4312-9D4F-36EA2F9E7C98}"/>
    <hyperlink ref="AJ86" location="$AJ$86" tooltip="Click for more detail" display="$AJ$86" xr:uid="{41FB415E-A3DC-496E-8378-F562A6CBB860}"/>
    <hyperlink ref="AJ85" location="$AJ$85" tooltip="Click for more detail" display="$AJ$85" xr:uid="{684F3BEB-40D1-4D1A-84F6-A30476CBA289}"/>
    <hyperlink ref="AJ84" location="$AJ$84" tooltip="Click for more detail" display="$AJ$84" xr:uid="{033A5F74-391F-417C-AD77-FD7161779EB7}"/>
    <hyperlink ref="AJ83" location="$AJ$83" tooltip="Click for more detail" display="$AJ$83" xr:uid="{F4D7D64E-486E-4B81-95AA-6EDBAE8949AF}"/>
    <hyperlink ref="AJ82" location="$AJ$82" tooltip="Click for more detail" display="$AJ$82" xr:uid="{33C148D8-44B8-408F-BF4F-6D5EF9940536}"/>
    <hyperlink ref="AJ81" location="$AJ$81" tooltip="Click for more detail" display="$AJ$81" xr:uid="{91A05640-D9DE-4A30-9D63-ABE61A9838EC}"/>
    <hyperlink ref="AJ80" location="$AJ$80" tooltip="Click for more detail" display="$AJ$80" xr:uid="{139EF1D2-1344-47CA-8A87-9557ABB9ED67}"/>
    <hyperlink ref="AJ79" location="$AJ$79" tooltip="Click for more detail" display="$AJ$79" xr:uid="{F3EC054F-7AC3-44A7-A59E-21A0274B84D9}"/>
    <hyperlink ref="AJ78" location="$AJ$78" tooltip="Click for more detail" display="$AJ$78" xr:uid="{3CCEA743-DF92-4173-B1BA-BB0E5FE4DDA6}"/>
    <hyperlink ref="AJ77" location="$AJ$77" tooltip="Click for more detail" display="$AJ$77" xr:uid="{8113C1A3-533A-48FD-90B7-7D496BAD5E0F}"/>
    <hyperlink ref="AJ76" location="$AJ$76" tooltip="Click for more detail" display="$AJ$76" xr:uid="{CDDDC0B4-11E0-4D34-8850-2253A395819E}"/>
    <hyperlink ref="AJ75" location="$AJ$75" tooltip="Click for more detail" display="$AJ$75" xr:uid="{0E47154F-813A-4AC2-896B-D2817975CD29}"/>
    <hyperlink ref="AJ74" location="$AJ$74" tooltip="Click for more detail" display="$AJ$74" xr:uid="{2A610C68-C84E-4F68-9FB6-C7D8778E9D83}"/>
    <hyperlink ref="AJ73" location="$AJ$73" tooltip="Click for more detail" display="$AJ$73" xr:uid="{CAEDDCD3-BEA4-4A93-B879-05D8356939E5}"/>
    <hyperlink ref="AK98" location="$AK$98" tooltip="Click for more detail" display="$AK$98" xr:uid="{14D53751-3522-439A-87E1-74CB14EBDEE0}"/>
    <hyperlink ref="AK97" location="$AK$97" tooltip="Click for more detail" display="$AK$97" xr:uid="{963CDE6B-0C7D-48C6-BC9E-D5E72AC17FB2}"/>
    <hyperlink ref="AK96" location="$AK$96" tooltip="Click for more detail" display="$AK$96" xr:uid="{C0904712-125E-452D-BEBB-3CEF626D91BC}"/>
    <hyperlink ref="AK95" location="$AK$95" tooltip="Click for more detail" display="$AK$95" xr:uid="{1194F837-C4FC-4D54-A59F-F59F2B07C994}"/>
    <hyperlink ref="AK94" location="$AK$94" tooltip="Click for more detail" display="$AK$94" xr:uid="{A7A53574-62D6-4924-B153-BDAABBDD5AC4}"/>
    <hyperlink ref="AK93" location="$AK$93" tooltip="Click for more detail" display="$AK$93" xr:uid="{7507A551-3785-47F2-9955-5E25C772E0AD}"/>
    <hyperlink ref="AK92" location="$AK$92" tooltip="Click for more detail" display="$AK$92" xr:uid="{3E342687-8E3D-4A08-9E0F-13FE3681D0CD}"/>
    <hyperlink ref="AK91" location="$AK$91" tooltip="Click for more detail" display="$AK$91" xr:uid="{F7011245-B428-41FB-8E37-9FE047603BF6}"/>
    <hyperlink ref="AK90" location="$AK$90" tooltip="Click for more detail" display="$AK$90" xr:uid="{B70E8B32-27DC-4A74-8835-FD4A33421394}"/>
    <hyperlink ref="AK89" location="$AK$89" tooltip="Click for more detail" display="$AK$89" xr:uid="{7F08A74C-D5E9-4533-B1F8-86856DBD8CD7}"/>
    <hyperlink ref="AK88" location="$AK$88" tooltip="Click for more detail" display="$AK$88" xr:uid="{A9BD662F-E5AF-4042-9FA3-302838E96EC0}"/>
    <hyperlink ref="AK87" location="$AK$87" tooltip="Click for more detail" display="$AK$87" xr:uid="{22A6DE94-EE4C-40AA-9DAE-8F102EBC1E60}"/>
    <hyperlink ref="AL98" location="$AL$98" tooltip="Click for more detail" display="$AL$98" xr:uid="{8F65D0E4-4E76-4EF8-B566-8527D7E234D9}"/>
    <hyperlink ref="AL97" location="$AL$97" tooltip="Click for more detail" display="$AL$97" xr:uid="{7D620886-66A7-4E44-BA7E-90C15FE61E3A}"/>
    <hyperlink ref="AL96" location="$AL$96" tooltip="Click for more detail" display="$AL$96" xr:uid="{24955B12-FD39-428A-B081-CA23C2DAAC3A}"/>
    <hyperlink ref="AL95" location="$AL$95" tooltip="Click for more detail" display="$AL$95" xr:uid="{066B7090-9E3B-481D-9A30-9C8AE88BC672}"/>
    <hyperlink ref="AL94" location="$AL$94" tooltip="Click for more detail" display="$AL$94" xr:uid="{6B953758-D7F2-4860-B265-53A2EEFABCFB}"/>
    <hyperlink ref="AL93" location="$AL$93" tooltip="Click for more detail" display="$AL$93" xr:uid="{B9D99901-199C-444F-A13C-9447D52F89B0}"/>
    <hyperlink ref="AL92" location="$AL$92" tooltip="Click for more detail" display="$AL$92" xr:uid="{7692F2BD-B873-4466-9510-4593052F8982}"/>
    <hyperlink ref="AL91" location="$AL$91" tooltip="Click for more detail" display="$AL$91" xr:uid="{073BEB0A-F663-4656-87C3-D5653F8B86C2}"/>
    <hyperlink ref="AL90" location="$AL$90" tooltip="Click for more detail" display="$AL$90" xr:uid="{4A58E057-2C6D-445F-8C43-34E1276B421C}"/>
    <hyperlink ref="AL89" location="$AL$89" tooltip="Click for more detail" display="$AL$89" xr:uid="{7C3A7C2B-10AD-45FB-A8E1-A9BC2D936BD0}"/>
    <hyperlink ref="AL88" location="$AL$88" tooltip="Click for more detail" display="$AL$88" xr:uid="{B0729A07-3694-47E8-B9FE-0578FB99B78D}"/>
    <hyperlink ref="AL87" location="$AL$87" tooltip="Click for more detail" display="$AL$87" xr:uid="{DEC07D4B-E442-4AE7-9BAE-17EFC7EB2BDE}"/>
    <hyperlink ref="AL86" location="$AL$86" tooltip="Click for more detail" display="$AL$86" xr:uid="{1D759852-7E7D-4D77-A576-DEA7AA3EA486}"/>
    <hyperlink ref="AL85" location="$AL$85" tooltip="Click for more detail" display="$AL$85" xr:uid="{34D95EC0-F632-4D12-B798-B406B00E6BDE}"/>
    <hyperlink ref="AL84" location="$AL$84" tooltip="Click for more detail" display="$AL$84" xr:uid="{0FD8B640-08C3-4FAC-AFD3-DD3A7C644F3D}"/>
    <hyperlink ref="AL83" location="$AL$83" tooltip="Click for more detail" display="$AL$83" xr:uid="{74954F94-8352-4B51-839A-BAB5AD518D69}"/>
    <hyperlink ref="AL82" location="$AL$82" tooltip="Click for more detail" display="$AL$82" xr:uid="{66753B56-1E2E-46B4-987F-387ED15E4879}"/>
    <hyperlink ref="AL81" location="$AL$81" tooltip="Click for more detail" display="$AL$81" xr:uid="{1A25A83E-3049-4EC7-AE8B-047D150EB17B}"/>
    <hyperlink ref="AL80" location="$AL$80" tooltip="Click for more detail" display="$AL$80" xr:uid="{66E639E9-0669-4721-9C2B-DCDC44BF98B4}"/>
    <hyperlink ref="AL79" location="$AL$79" tooltip="Click for more detail" display="$AL$79" xr:uid="{C427AADC-A231-4521-850D-E90A3FC76BC3}"/>
    <hyperlink ref="AL78" location="$AL$78" tooltip="Click for more detail" display="$AL$78" xr:uid="{5B8B90B2-CA60-4CF5-A2EE-24CF66F7CB39}"/>
    <hyperlink ref="AL77" location="$AL$77" tooltip="Click for more detail" display="$AL$77" xr:uid="{37A85247-2429-47BA-B217-7614A847EC14}"/>
    <hyperlink ref="AL76" location="$AL$76" tooltip="Click for more detail" display="$AL$76" xr:uid="{05DAFDE7-5B91-42D9-A20C-0D9AA4158C0E}"/>
    <hyperlink ref="AL75" location="$AL$75" tooltip="Click for more detail" display="$AL$75" xr:uid="{4DAA44A6-E1A8-47F1-BACE-BD53127DDE3D}"/>
    <hyperlink ref="AL74" location="$AL$74" tooltip="Click for more detail" display="$AL$74" xr:uid="{E6651B93-C686-469D-9E57-FD8DDFD62F47}"/>
    <hyperlink ref="AL73" location="$AL$73" tooltip="Click for more detail" display="$AL$73" xr:uid="{D0969A4C-C98E-4B12-8BCE-1807B645084B}"/>
    <hyperlink ref="AL72" location="$AL$72" tooltip="Click for more detail" display="$AL$72" xr:uid="{FA85BC1E-C8E4-479A-AD2E-D645956AC945}"/>
    <hyperlink ref="AL71" location="$AL$71" tooltip="Click for more detail" display="$AL$71" xr:uid="{6576E67C-A490-46BF-A8A7-AA1B18E7010D}"/>
    <hyperlink ref="AN98" location="$AN$98" tooltip="Click for more detail" display="$AN$98" xr:uid="{815751A6-A0C1-423E-BB96-7D635FA5ED5B}"/>
    <hyperlink ref="AN97" location="$AN$97" tooltip="Click for more detail" display="$AN$97" xr:uid="{708ECA42-8464-41E8-8065-C28AA4135587}"/>
    <hyperlink ref="AN96" location="$AN$96" tooltip="Click for more detail" display="$AN$96" xr:uid="{9F68B161-061C-4A76-B2A1-1A2499A12211}"/>
    <hyperlink ref="AN95" location="$AN$95" tooltip="Click for more detail" display="$AN$95" xr:uid="{A5BDC946-E884-49FC-9D29-05806069DF03}"/>
    <hyperlink ref="AN94" location="$AN$94" tooltip="Click for more detail" display="$AN$94" xr:uid="{D57FAA6F-6197-4F54-851B-A1B634229EFA}"/>
    <hyperlink ref="AN93" location="$AN$93" tooltip="Click for more detail" display="$AN$93" xr:uid="{2898243F-CE44-4799-AB07-8001E0442BAD}"/>
    <hyperlink ref="AN92" location="$AN$92" tooltip="Click for more detail" display="$AN$92" xr:uid="{0722BBBF-6D10-4968-A323-5FF14F88D34B}"/>
    <hyperlink ref="AN91" location="$AN$91" tooltip="Click for more detail" display="$AN$91" xr:uid="{D3CE810F-9180-482A-A662-B085FC583462}"/>
    <hyperlink ref="AN90" location="$AN$90" tooltip="Click for more detail" display="$AN$90" xr:uid="{9347AF84-CAFE-43EA-BDC8-A7F0458469F1}"/>
    <hyperlink ref="AN89" location="$AN$89" tooltip="Click for more detail" display="$AN$89" xr:uid="{87B0D103-40D6-4B39-B526-8B5FD1D78FCC}"/>
    <hyperlink ref="AN88" location="$AN$88" tooltip="Click for more detail" display="$AN$88" xr:uid="{18E533A7-DC2E-4CE5-AE9E-011C9973B041}"/>
    <hyperlink ref="AQ98" location="$AQ$98" tooltip="Click for more detail" display="$AQ$98" xr:uid="{6F549F8D-D72C-4F6E-A713-A7BBE30314CD}"/>
    <hyperlink ref="AV98" location="$AV$98" tooltip="Click for more detail" display="$AV$98" xr:uid="{3E71F823-D045-4EB9-ABE4-8221E27BBEDF}"/>
    <hyperlink ref="AV97" location="$AV$97" tooltip="Click for more detail" display="$AV$97" xr:uid="{7D6DB042-9386-48E1-BF06-754DB3CD9B43}"/>
    <hyperlink ref="AV96" location="$AV$96" tooltip="Click for more detail" display="$AV$96" xr:uid="{621ABC32-5CBD-4372-A9EC-FC24BA658CA5}"/>
  </hyperlinks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area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15</xdr:col>
                    <xdr:colOff>523875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">
                <anchor moveWithCells="1">
                  <from>
                    <xdr:col>14</xdr:col>
                    <xdr:colOff>0</xdr:colOff>
                    <xdr:row>0</xdr:row>
                    <xdr:rowOff>257175</xdr:rowOff>
                  </from>
                  <to>
                    <xdr:col>15</xdr:col>
                    <xdr:colOff>523875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2">
              <controlPr defaultSize="0" autoFill="0" autoLine="0" autoPict="0">
                <anchor moveWithCells="1">
                  <from>
                    <xdr:col>14</xdr:col>
                    <xdr:colOff>0</xdr:colOff>
                    <xdr:row>0</xdr:row>
                    <xdr:rowOff>495300</xdr:rowOff>
                  </from>
                  <to>
                    <xdr:col>16</xdr:col>
                    <xdr:colOff>485775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871"/>
  <sheetViews>
    <sheetView showGridLines="0" topLeftCell="B4" zoomScale="85" zoomScaleNormal="85" workbookViewId="0">
      <pane ySplit="2" topLeftCell="A6" activePane="bottomLeft" state="frozen"/>
      <selection activeCell="A4" sqref="A4"/>
      <selection pane="bottomLeft" activeCell="D30" sqref="D30"/>
    </sheetView>
  </sheetViews>
  <sheetFormatPr defaultRowHeight="15"/>
  <cols>
    <col min="1" max="1" width="19.140625" style="2" customWidth="1"/>
    <col min="2" max="2" width="90.42578125" style="2" customWidth="1"/>
    <col min="3" max="3" width="18.140625" style="54" customWidth="1"/>
    <col min="4" max="4" width="18.5703125" style="53" customWidth="1"/>
    <col min="5" max="5" width="19.42578125" style="54" customWidth="1"/>
    <col min="6" max="6" width="67.5703125" customWidth="1"/>
    <col min="7" max="7" width="14.5703125" style="2" customWidth="1"/>
    <col min="8" max="8" width="14.140625" style="2" hidden="1" customWidth="1"/>
    <col min="9" max="10" width="13.42578125" style="2" customWidth="1"/>
    <col min="11" max="11" width="12.42578125" customWidth="1"/>
  </cols>
  <sheetData>
    <row r="1" spans="1:12" ht="48.6" customHeight="1">
      <c r="C1" s="7"/>
      <c r="D1" s="48"/>
      <c r="E1" s="7"/>
      <c r="F1" s="7"/>
      <c r="K1" s="2"/>
    </row>
    <row r="2" spans="1:12" ht="18" customHeight="1">
      <c r="A2" s="6"/>
      <c r="B2" s="17"/>
      <c r="C2" s="2"/>
      <c r="D2" s="49"/>
      <c r="E2" s="2"/>
      <c r="F2" s="2"/>
      <c r="G2" s="6"/>
      <c r="K2" s="2"/>
    </row>
    <row r="3" spans="1:12" ht="18.75">
      <c r="A3" s="6"/>
      <c r="B3" s="6"/>
      <c r="C3" s="2"/>
      <c r="D3" s="49"/>
      <c r="E3" s="2"/>
      <c r="F3" s="2"/>
      <c r="G3" s="6"/>
      <c r="K3" s="2"/>
    </row>
    <row r="4" spans="1:12" ht="14.45" customHeight="1">
      <c r="C4" s="2"/>
      <c r="D4" s="49"/>
      <c r="E4" s="2"/>
      <c r="F4" s="2"/>
      <c r="I4" s="92" t="s">
        <v>14</v>
      </c>
      <c r="J4" s="93"/>
      <c r="K4" s="94"/>
    </row>
    <row r="5" spans="1:12" s="1" customFormat="1" ht="45">
      <c r="A5" s="3" t="s">
        <v>20</v>
      </c>
      <c r="B5" s="3" t="s">
        <v>21</v>
      </c>
      <c r="C5" s="19" t="s">
        <v>676</v>
      </c>
      <c r="D5" s="50" t="s">
        <v>624</v>
      </c>
      <c r="E5" s="19" t="s">
        <v>677</v>
      </c>
      <c r="F5" s="19" t="s">
        <v>568</v>
      </c>
      <c r="G5" s="20" t="s">
        <v>16</v>
      </c>
      <c r="H5" s="18" t="s">
        <v>15</v>
      </c>
      <c r="I5" s="5" t="s">
        <v>669</v>
      </c>
      <c r="J5" s="5" t="s">
        <v>670</v>
      </c>
      <c r="K5" s="5" t="s">
        <v>672</v>
      </c>
      <c r="L5" s="76" t="s">
        <v>668</v>
      </c>
    </row>
    <row r="6" spans="1:12">
      <c r="A6" s="4" t="s">
        <v>172</v>
      </c>
      <c r="B6" s="58" t="s">
        <v>24</v>
      </c>
      <c r="C6" s="55">
        <f>systemtable[[#This Row],[MC Forecast date]]-7</f>
        <v>44347</v>
      </c>
      <c r="D6" s="51">
        <f>systemtable[[#This Row],[Commissioning Forecast Date]]-7</f>
        <v>44354</v>
      </c>
      <c r="E6" s="55">
        <v>44361</v>
      </c>
      <c r="F6" s="35" t="s">
        <v>580</v>
      </c>
      <c r="G6" s="43" t="str">
        <f>IF(COUNT(systemtable[[#This Row],[RFI Issued Date]:[PL Received
Date]])=3,"OK","")</f>
        <v>OK</v>
      </c>
      <c r="H6" s="44" t="str">
        <f>IF(systemtable[[#This Row],[REJECTED]]&gt;0,"Status4","status"&amp;COUNT(systemtable[[#This Row],[RFI Issued Date]:[PL Received
Date]])+1)</f>
        <v>status4</v>
      </c>
      <c r="I6" s="45">
        <v>43959</v>
      </c>
      <c r="J6" s="45">
        <v>44052</v>
      </c>
      <c r="K6" s="45">
        <v>44082</v>
      </c>
      <c r="L6" s="77"/>
    </row>
    <row r="7" spans="1:12">
      <c r="A7" s="4" t="s">
        <v>164</v>
      </c>
      <c r="B7" s="59" t="s">
        <v>27</v>
      </c>
      <c r="C7" s="55">
        <f>systemtable[[#This Row],[MC Forecast date]]-7</f>
        <v>44347</v>
      </c>
      <c r="D7" s="51">
        <f>systemtable[[#This Row],[Commissioning Forecast Date]]-7</f>
        <v>44354</v>
      </c>
      <c r="E7" s="55">
        <v>44361</v>
      </c>
      <c r="F7" s="35" t="s">
        <v>580</v>
      </c>
      <c r="G7" s="43" t="str">
        <f>IF(COUNT(systemtable[[#This Row],[RFI Issued Date]:[PL Received
Date]])=3,"OK","")</f>
        <v/>
      </c>
      <c r="H7" s="44" t="str">
        <f>IF(systemtable[[#This Row],[REJECTED]]&gt;0,"Status5","status"&amp;COUNT(systemtable[[#This Row],[RFI Issued Date]:[PL Received
Date]])+1)</f>
        <v>Status5</v>
      </c>
      <c r="I7" s="45"/>
      <c r="J7" s="45"/>
      <c r="K7" s="45"/>
      <c r="L7" s="77">
        <v>44082</v>
      </c>
    </row>
    <row r="8" spans="1:12">
      <c r="A8" s="4" t="s">
        <v>165</v>
      </c>
      <c r="B8" s="59" t="s">
        <v>30</v>
      </c>
      <c r="C8" s="55">
        <f>systemtable[[#This Row],[MC Forecast date]]-7</f>
        <v>44347</v>
      </c>
      <c r="D8" s="51">
        <f>systemtable[[#This Row],[Commissioning Forecast Date]]-7</f>
        <v>44354</v>
      </c>
      <c r="E8" s="55">
        <v>44361</v>
      </c>
      <c r="F8" s="35" t="s">
        <v>580</v>
      </c>
      <c r="G8" s="43" t="str">
        <f>IF(COUNT(systemtable[[#This Row],[RFI Issued Date]:[PL Received
Date]])=3,"OK","")</f>
        <v/>
      </c>
      <c r="H8" s="44" t="str">
        <f>IF(systemtable[[#This Row],[REJECTED]]&gt;0,"Status5","status"&amp;COUNT(systemtable[[#This Row],[RFI Issued Date]:[PL Received
Date]])+1)</f>
        <v>Status5</v>
      </c>
      <c r="I8" s="45">
        <v>43959</v>
      </c>
      <c r="J8" s="45"/>
      <c r="K8" s="45"/>
      <c r="L8" s="77">
        <v>44082</v>
      </c>
    </row>
    <row r="9" spans="1:12">
      <c r="A9" s="4" t="s">
        <v>170</v>
      </c>
      <c r="B9" s="59" t="s">
        <v>33</v>
      </c>
      <c r="C9" s="55">
        <f>systemtable[[#This Row],[MC Forecast date]]-7</f>
        <v>44347</v>
      </c>
      <c r="D9" s="51">
        <f>systemtable[[#This Row],[Commissioning Forecast Date]]-7</f>
        <v>44354</v>
      </c>
      <c r="E9" s="55">
        <v>44361</v>
      </c>
      <c r="F9" s="35" t="s">
        <v>580</v>
      </c>
      <c r="G9" s="43" t="str">
        <f>IF(COUNT(systemtable[[#This Row],[RFI Issued Date]:[PL Received
Date]])=3,"OK","")</f>
        <v/>
      </c>
      <c r="H9" s="44" t="str">
        <f>IF(systemtable[[#This Row],[REJECTED]]&gt;0,"Status5","status"&amp;COUNT(systemtable[[#This Row],[RFI Issued Date]:[PL Received
Date]])+1)</f>
        <v>status1</v>
      </c>
      <c r="I9" s="45"/>
      <c r="J9" s="45"/>
      <c r="K9" s="45"/>
      <c r="L9" s="46"/>
    </row>
    <row r="10" spans="1:12">
      <c r="A10" s="4" t="s">
        <v>169</v>
      </c>
      <c r="B10" s="59" t="s">
        <v>36</v>
      </c>
      <c r="C10" s="55">
        <f>systemtable[[#This Row],[MC Forecast date]]-7</f>
        <v>44347</v>
      </c>
      <c r="D10" s="51">
        <f>systemtable[[#This Row],[Commissioning Forecast Date]]-7</f>
        <v>44354</v>
      </c>
      <c r="E10" s="55">
        <v>44361</v>
      </c>
      <c r="F10" s="35" t="s">
        <v>580</v>
      </c>
      <c r="G10" s="43" t="str">
        <f>IF(COUNT(systemtable[[#This Row],[RFI Issued Date]:[PL Received
Date]])=3,"OK","")</f>
        <v/>
      </c>
      <c r="H10" s="44" t="str">
        <f>IF(systemtable[[#This Row],[REJECTED]]&gt;0,"Status5","status"&amp;COUNT(systemtable[[#This Row],[RFI Issued Date]:[PL Received
Date]])+1)</f>
        <v>status1</v>
      </c>
      <c r="I10" s="45"/>
      <c r="J10" s="45"/>
      <c r="K10" s="45"/>
      <c r="L10" s="46"/>
    </row>
    <row r="11" spans="1:12">
      <c r="A11" s="30" t="s">
        <v>162</v>
      </c>
      <c r="B11" s="60" t="s">
        <v>131</v>
      </c>
      <c r="C11" s="55">
        <f>systemtable[[#This Row],[MC Forecast date]]-7</f>
        <v>44347</v>
      </c>
      <c r="D11" s="51">
        <f>systemtable[[#This Row],[Commissioning Forecast Date]]-7</f>
        <v>44354</v>
      </c>
      <c r="E11" s="55">
        <v>44361</v>
      </c>
      <c r="F11" s="35" t="s">
        <v>580</v>
      </c>
      <c r="G11" s="43" t="str">
        <f>IF(COUNT(systemtable[[#This Row],[RFI Issued Date]:[PL Received
Date]])=3,"OK","")</f>
        <v/>
      </c>
      <c r="H11" s="44" t="str">
        <f>IF(systemtable[[#This Row],[REJECTED]]&gt;0,"Status5","status"&amp;COUNT(systemtable[[#This Row],[RFI Issued Date]:[PL Received
Date]])+1)</f>
        <v>status1</v>
      </c>
      <c r="I11" s="45"/>
      <c r="J11" s="45"/>
      <c r="K11" s="45"/>
      <c r="L11" s="46"/>
    </row>
    <row r="12" spans="1:12">
      <c r="A12" s="37" t="s">
        <v>168</v>
      </c>
      <c r="B12" s="41" t="s">
        <v>167</v>
      </c>
      <c r="C12" s="55">
        <f>systemtable[[#This Row],[MC Forecast date]]-7</f>
        <v>44347</v>
      </c>
      <c r="D12" s="51">
        <f>systemtable[[#This Row],[Commissioning Forecast Date]]-7</f>
        <v>44354</v>
      </c>
      <c r="E12" s="55">
        <v>44361</v>
      </c>
      <c r="F12" s="35" t="s">
        <v>580</v>
      </c>
      <c r="G12" s="43" t="str">
        <f>IF(COUNT(systemtable[[#This Row],[RFI Issued Date]:[PL Received
Date]])=3,"OK","")</f>
        <v/>
      </c>
      <c r="H12" s="44" t="str">
        <f>IF(systemtable[[#This Row],[REJECTED]]&gt;0,"Status5","status"&amp;COUNT(systemtable[[#This Row],[RFI Issued Date]:[PL Received
Date]])+1)</f>
        <v>status1</v>
      </c>
      <c r="I12" s="45"/>
      <c r="J12" s="45"/>
      <c r="K12" s="45"/>
      <c r="L12" s="46"/>
    </row>
    <row r="13" spans="1:12">
      <c r="A13" s="4" t="s">
        <v>160</v>
      </c>
      <c r="B13" s="58" t="s">
        <v>87</v>
      </c>
      <c r="C13" s="55">
        <f>systemtable[[#This Row],[MC Forecast date]]-7</f>
        <v>44347</v>
      </c>
      <c r="D13" s="51">
        <f>systemtable[[#This Row],[Commissioning Forecast Date]]-7</f>
        <v>44354</v>
      </c>
      <c r="E13" s="55">
        <v>44361</v>
      </c>
      <c r="F13" s="35" t="s">
        <v>580</v>
      </c>
      <c r="G13" s="43" t="str">
        <f>IF(COUNT(systemtable[[#This Row],[RFI Issued Date]:[PL Received
Date]])=3,"OK","")</f>
        <v/>
      </c>
      <c r="H13" s="44" t="str">
        <f>IF(systemtable[[#This Row],[REJECTED]]&gt;0,"Status5","status"&amp;COUNT(systemtable[[#This Row],[RFI Issued Date]:[PL Received
Date]])+1)</f>
        <v>status1</v>
      </c>
      <c r="I13" s="45"/>
      <c r="J13" s="45"/>
      <c r="K13" s="45"/>
      <c r="L13" s="46"/>
    </row>
    <row r="14" spans="1:12">
      <c r="A14" s="30" t="s">
        <v>173</v>
      </c>
      <c r="B14" s="61" t="s">
        <v>133</v>
      </c>
      <c r="C14" s="55">
        <f>systemtable[[#This Row],[MC Forecast date]]-7</f>
        <v>44347</v>
      </c>
      <c r="D14" s="51">
        <f>systemtable[[#This Row],[Commissioning Forecast Date]]-7</f>
        <v>44354</v>
      </c>
      <c r="E14" s="55">
        <v>44361</v>
      </c>
      <c r="F14" s="35" t="s">
        <v>623</v>
      </c>
      <c r="G14" s="43" t="str">
        <f>IF(COUNT(systemtable[[#This Row],[RFI Issued Date]:[PL Received
Date]])=3,"OK","")</f>
        <v/>
      </c>
      <c r="H14" s="44" t="str">
        <f>IF(systemtable[[#This Row],[REJECTED]]&gt;0,"Status5","status"&amp;COUNT(systemtable[[#This Row],[RFI Issued Date]:[PL Received
Date]])+1)</f>
        <v>status1</v>
      </c>
      <c r="I14" s="45"/>
      <c r="J14" s="45"/>
      <c r="K14" s="45"/>
      <c r="L14" s="46"/>
    </row>
    <row r="15" spans="1:12">
      <c r="A15" s="4" t="s">
        <v>175</v>
      </c>
      <c r="B15" s="58" t="s">
        <v>39</v>
      </c>
      <c r="C15" s="55">
        <f>systemtable[[#This Row],[MC Forecast date]]-7</f>
        <v>44347</v>
      </c>
      <c r="D15" s="51">
        <f>systemtable[[#This Row],[Commissioning Forecast Date]]-7</f>
        <v>44354</v>
      </c>
      <c r="E15" s="55">
        <v>44361</v>
      </c>
      <c r="F15" s="35" t="s">
        <v>580</v>
      </c>
      <c r="G15" s="43" t="str">
        <f>IF(COUNT(systemtable[[#This Row],[RFI Issued Date]:[PL Received
Date]])=3,"OK","")</f>
        <v/>
      </c>
      <c r="H15" s="44" t="str">
        <f>IF(systemtable[[#This Row],[REJECTED]]&gt;0,"Status5","status"&amp;COUNT(systemtable[[#This Row],[RFI Issued Date]:[PL Received
Date]])+1)</f>
        <v>status1</v>
      </c>
      <c r="I15" s="45"/>
      <c r="J15" s="45"/>
      <c r="K15" s="45"/>
      <c r="L15" s="46"/>
    </row>
    <row r="16" spans="1:12">
      <c r="A16" s="30" t="s">
        <v>176</v>
      </c>
      <c r="B16" s="61" t="s">
        <v>136</v>
      </c>
      <c r="C16" s="55">
        <f>systemtable[[#This Row],[MC Forecast date]]-7</f>
        <v>44347</v>
      </c>
      <c r="D16" s="51">
        <f>systemtable[[#This Row],[Commissioning Forecast Date]]-7</f>
        <v>44354</v>
      </c>
      <c r="E16" s="55">
        <v>44361</v>
      </c>
      <c r="F16" s="35" t="s">
        <v>580</v>
      </c>
      <c r="G16" s="43" t="str">
        <f>IF(COUNT(systemtable[[#This Row],[RFI Issued Date]:[PL Received
Date]])=3,"OK","")</f>
        <v/>
      </c>
      <c r="H16" s="44" t="str">
        <f>IF(systemtable[[#This Row],[REJECTED]]&gt;0,"Status5","status"&amp;COUNT(systemtable[[#This Row],[RFI Issued Date]:[PL Received
Date]])+1)</f>
        <v>status1</v>
      </c>
      <c r="I16" s="45"/>
      <c r="J16" s="45"/>
      <c r="K16" s="45"/>
      <c r="L16" s="46"/>
    </row>
    <row r="17" spans="1:12">
      <c r="A17" s="4" t="s">
        <v>301</v>
      </c>
      <c r="B17" s="62" t="s">
        <v>639</v>
      </c>
      <c r="C17" s="55">
        <f>systemtable[[#This Row],[MC Forecast date]]-7</f>
        <v>44347</v>
      </c>
      <c r="D17" s="51">
        <f>systemtable[[#This Row],[Commissioning Forecast Date]]-7</f>
        <v>44354</v>
      </c>
      <c r="E17" s="55">
        <v>44361</v>
      </c>
      <c r="F17" s="35" t="s">
        <v>580</v>
      </c>
      <c r="G17" s="43" t="str">
        <f>IF(COUNT(systemtable[[#This Row],[RFI Issued Date]:[PL Received
Date]])=3,"OK","")</f>
        <v/>
      </c>
      <c r="H17" s="44" t="str">
        <f>IF(systemtable[[#This Row],[REJECTED]]&gt;0,"Status5","status"&amp;COUNT(systemtable[[#This Row],[RFI Issued Date]:[PL Received
Date]])+1)</f>
        <v>status1</v>
      </c>
      <c r="I17" s="45"/>
      <c r="J17" s="45"/>
      <c r="K17" s="45"/>
      <c r="L17" s="46"/>
    </row>
    <row r="18" spans="1:12">
      <c r="A18" s="4" t="s">
        <v>295</v>
      </c>
      <c r="B18" s="58" t="s">
        <v>66</v>
      </c>
      <c r="C18" s="55">
        <f>systemtable[[#This Row],[MC Forecast date]]-7</f>
        <v>44368</v>
      </c>
      <c r="D18" s="51">
        <f>systemtable[[#This Row],[Commissioning Forecast Date]]-7</f>
        <v>44375</v>
      </c>
      <c r="E18" s="55">
        <v>44382</v>
      </c>
      <c r="F18" s="35" t="s">
        <v>591</v>
      </c>
      <c r="G18" s="43" t="str">
        <f>IF(COUNT(systemtable[[#This Row],[RFI Issued Date]:[PL Received
Date]])=3,"OK","")</f>
        <v/>
      </c>
      <c r="H18" s="44" t="str">
        <f>IF(systemtable[[#This Row],[REJECTED]]&gt;0,"Status5","status"&amp;COUNT(systemtable[[#This Row],[RFI Issued Date]:[PL Received
Date]])+1)</f>
        <v>status1</v>
      </c>
      <c r="I18" s="45"/>
      <c r="J18" s="45"/>
      <c r="K18" s="45"/>
      <c r="L18" s="46"/>
    </row>
    <row r="19" spans="1:12">
      <c r="A19" s="4" t="s">
        <v>367</v>
      </c>
      <c r="B19" s="62" t="s">
        <v>640</v>
      </c>
      <c r="C19" s="55">
        <f>systemtable[[#This Row],[MC Forecast date]]-7</f>
        <v>44368</v>
      </c>
      <c r="D19" s="51">
        <f>systemtable[[#This Row],[Commissioning Forecast Date]]-7</f>
        <v>44375</v>
      </c>
      <c r="E19" s="55">
        <v>44382</v>
      </c>
      <c r="F19" s="35" t="s">
        <v>608</v>
      </c>
      <c r="G19" s="43" t="str">
        <f>IF(COUNT(systemtable[[#This Row],[RFI Issued Date]:[PL Received
Date]])=3,"OK","")</f>
        <v/>
      </c>
      <c r="H19" s="44" t="str">
        <f>IF(systemtable[[#This Row],[REJECTED]]&gt;0,"Status5","status"&amp;COUNT(systemtable[[#This Row],[RFI Issued Date]:[PL Received
Date]])+1)</f>
        <v>status1</v>
      </c>
      <c r="I19" s="45"/>
      <c r="J19" s="45"/>
      <c r="K19" s="45"/>
      <c r="L19" s="46"/>
    </row>
    <row r="20" spans="1:12">
      <c r="A20" s="4" t="s">
        <v>288</v>
      </c>
      <c r="B20" s="58" t="s">
        <v>70</v>
      </c>
      <c r="C20" s="55">
        <f>systemtable[[#This Row],[MC Forecast date]]-7</f>
        <v>44368</v>
      </c>
      <c r="D20" s="51">
        <f>systemtable[[#This Row],[Commissioning Forecast Date]]-7</f>
        <v>44375</v>
      </c>
      <c r="E20" s="55">
        <v>44382</v>
      </c>
      <c r="F20" s="35" t="s">
        <v>591</v>
      </c>
      <c r="G20" s="43" t="str">
        <f>IF(COUNT(systemtable[[#This Row],[RFI Issued Date]:[PL Received
Date]])=3,"OK","")</f>
        <v/>
      </c>
      <c r="H20" s="44" t="str">
        <f>IF(systemtable[[#This Row],[REJECTED]]&gt;0,"Status5","status"&amp;COUNT(systemtable[[#This Row],[RFI Issued Date]:[PL Received
Date]])+1)</f>
        <v>status1</v>
      </c>
      <c r="I20" s="45"/>
      <c r="J20" s="45"/>
      <c r="K20" s="45"/>
      <c r="L20" s="46"/>
    </row>
    <row r="21" spans="1:12">
      <c r="A21" s="34" t="s">
        <v>291</v>
      </c>
      <c r="B21" s="35" t="s">
        <v>290</v>
      </c>
      <c r="C21" s="55">
        <f>systemtable[[#This Row],[MC Forecast date]]-7</f>
        <v>44368</v>
      </c>
      <c r="D21" s="51">
        <f>systemtable[[#This Row],[Commissioning Forecast Date]]-7</f>
        <v>44375</v>
      </c>
      <c r="E21" s="55">
        <v>44382</v>
      </c>
      <c r="F21" s="35" t="s">
        <v>591</v>
      </c>
      <c r="G21" s="43" t="str">
        <f>IF(COUNT(systemtable[[#This Row],[RFI Issued Date]:[PL Received
Date]])=3,"OK","")</f>
        <v/>
      </c>
      <c r="H21" s="44" t="str">
        <f>IF(systemtable[[#This Row],[REJECTED]]&gt;0,"Status5","status"&amp;COUNT(systemtable[[#This Row],[RFI Issued Date]:[PL Received
Date]])+1)</f>
        <v>status1</v>
      </c>
      <c r="I21" s="45"/>
      <c r="J21" s="45"/>
      <c r="K21" s="45"/>
      <c r="L21" s="46"/>
    </row>
    <row r="22" spans="1:12">
      <c r="A22" s="4" t="s">
        <v>293</v>
      </c>
      <c r="B22" s="58" t="s">
        <v>74</v>
      </c>
      <c r="C22" s="55">
        <f>systemtable[[#This Row],[MC Forecast date]]-7</f>
        <v>44368</v>
      </c>
      <c r="D22" s="51">
        <f>systemtable[[#This Row],[Commissioning Forecast Date]]-7</f>
        <v>44375</v>
      </c>
      <c r="E22" s="55">
        <v>44382</v>
      </c>
      <c r="F22" s="35" t="s">
        <v>591</v>
      </c>
      <c r="G22" s="43" t="str">
        <f>IF(COUNT(systemtable[[#This Row],[RFI Issued Date]:[PL Received
Date]])=3,"OK","")</f>
        <v/>
      </c>
      <c r="H22" s="44" t="str">
        <f>IF(systemtable[[#This Row],[REJECTED]]&gt;0,"Status5","status"&amp;COUNT(systemtable[[#This Row],[RFI Issued Date]:[PL Received
Date]])+1)</f>
        <v>status1</v>
      </c>
      <c r="I22" s="45"/>
      <c r="J22" s="45"/>
      <c r="K22" s="45"/>
      <c r="L22" s="46"/>
    </row>
    <row r="23" spans="1:12">
      <c r="A23" s="4" t="s">
        <v>294</v>
      </c>
      <c r="B23" s="58" t="s">
        <v>67</v>
      </c>
      <c r="C23" s="55">
        <f>systemtable[[#This Row],[MC Forecast date]]-7</f>
        <v>44368</v>
      </c>
      <c r="D23" s="51">
        <f>systemtable[[#This Row],[Commissioning Forecast Date]]-7</f>
        <v>44375</v>
      </c>
      <c r="E23" s="55">
        <v>44382</v>
      </c>
      <c r="F23" s="35" t="s">
        <v>591</v>
      </c>
      <c r="G23" s="43" t="str">
        <f>IF(COUNT(systemtable[[#This Row],[RFI Issued Date]:[PL Received
Date]])=3,"OK","")</f>
        <v/>
      </c>
      <c r="H23" s="44" t="str">
        <f>IF(systemtable[[#This Row],[REJECTED]]&gt;0,"Status5","status"&amp;COUNT(systemtable[[#This Row],[RFI Issued Date]:[PL Received
Date]])+1)</f>
        <v>status1</v>
      </c>
      <c r="I23" s="45"/>
      <c r="J23" s="45"/>
      <c r="K23" s="45"/>
      <c r="L23" s="46"/>
    </row>
    <row r="24" spans="1:12">
      <c r="A24" s="4" t="s">
        <v>297</v>
      </c>
      <c r="B24" s="58" t="s">
        <v>77</v>
      </c>
      <c r="C24" s="55">
        <f>systemtable[[#This Row],[MC Forecast date]]-7</f>
        <v>44368</v>
      </c>
      <c r="D24" s="51">
        <f>systemtable[[#This Row],[Commissioning Forecast Date]]-7</f>
        <v>44375</v>
      </c>
      <c r="E24" s="55">
        <v>44382</v>
      </c>
      <c r="F24" s="35" t="s">
        <v>591</v>
      </c>
      <c r="G24" s="43" t="str">
        <f>IF(COUNT(systemtable[[#This Row],[RFI Issued Date]:[PL Received
Date]])=3,"OK","")</f>
        <v/>
      </c>
      <c r="H24" s="44" t="str">
        <f>IF(systemtable[[#This Row],[REJECTED]]&gt;0,"Status5","status"&amp;COUNT(systemtable[[#This Row],[RFI Issued Date]:[PL Received
Date]])+1)</f>
        <v>status1</v>
      </c>
      <c r="I24" s="45"/>
      <c r="J24" s="45"/>
      <c r="K24" s="45"/>
      <c r="L24" s="46"/>
    </row>
    <row r="25" spans="1:12">
      <c r="A25" s="4" t="s">
        <v>363</v>
      </c>
      <c r="B25" s="35" t="s">
        <v>44</v>
      </c>
      <c r="C25" s="55">
        <f>systemtable[[#This Row],[MC Forecast date]]-7</f>
        <v>44368</v>
      </c>
      <c r="D25" s="51">
        <f>systemtable[[#This Row],[Commissioning Forecast Date]]-7</f>
        <v>44375</v>
      </c>
      <c r="E25" s="55">
        <v>44382</v>
      </c>
      <c r="F25" s="35" t="s">
        <v>608</v>
      </c>
      <c r="G25" s="43" t="str">
        <f>IF(COUNT(systemtable[[#This Row],[RFI Issued Date]:[PL Received
Date]])=3,"OK","")</f>
        <v/>
      </c>
      <c r="H25" s="44" t="str">
        <f>IF(systemtable[[#This Row],[REJECTED]]&gt;0,"Status5","status"&amp;COUNT(systemtable[[#This Row],[RFI Issued Date]:[PL Received
Date]])+1)</f>
        <v>status1</v>
      </c>
      <c r="I25" s="45"/>
      <c r="J25" s="45"/>
      <c r="K25" s="45"/>
      <c r="L25" s="46"/>
    </row>
    <row r="26" spans="1:12">
      <c r="A26" s="4" t="s">
        <v>305</v>
      </c>
      <c r="B26" s="58" t="s">
        <v>93</v>
      </c>
      <c r="C26" s="55">
        <f>systemtable[[#This Row],[MC Forecast date]]-7</f>
        <v>44368</v>
      </c>
      <c r="D26" s="51">
        <f>systemtable[[#This Row],[Commissioning Forecast Date]]-7</f>
        <v>44375</v>
      </c>
      <c r="E26" s="55">
        <v>44382</v>
      </c>
      <c r="F26" s="35" t="s">
        <v>591</v>
      </c>
      <c r="G26" s="43" t="str">
        <f>IF(COUNT(systemtable[[#This Row],[RFI Issued Date]:[PL Received
Date]])=3,"OK","")</f>
        <v/>
      </c>
      <c r="H26" s="44" t="str">
        <f>IF(systemtable[[#This Row],[REJECTED]]&gt;0,"Status5","status"&amp;COUNT(systemtable[[#This Row],[RFI Issued Date]:[PL Received
Date]])+1)</f>
        <v>status1</v>
      </c>
      <c r="I26" s="45"/>
      <c r="J26" s="45"/>
      <c r="K26" s="45"/>
      <c r="L26" s="46"/>
    </row>
    <row r="27" spans="1:12">
      <c r="A27" s="37" t="s">
        <v>366</v>
      </c>
      <c r="B27" s="41" t="s">
        <v>365</v>
      </c>
      <c r="C27" s="55">
        <f>systemtable[[#This Row],[MC Forecast date]]-7</f>
        <v>44368</v>
      </c>
      <c r="D27" s="51">
        <f>systemtable[[#This Row],[Commissioning Forecast Date]]-7</f>
        <v>44375</v>
      </c>
      <c r="E27" s="55">
        <v>44382</v>
      </c>
      <c r="F27" s="35" t="s">
        <v>608</v>
      </c>
      <c r="G27" s="43" t="str">
        <f>IF(COUNT(systemtable[[#This Row],[RFI Issued Date]:[PL Received
Date]])=3,"OK","")</f>
        <v/>
      </c>
      <c r="H27" s="44" t="str">
        <f>IF(systemtable[[#This Row],[REJECTED]]&gt;0,"Status5","status"&amp;COUNT(systemtable[[#This Row],[RFI Issued Date]:[PL Received
Date]])+1)</f>
        <v>status1</v>
      </c>
      <c r="I27" s="45"/>
      <c r="J27" s="45"/>
      <c r="K27" s="45"/>
      <c r="L27" s="46"/>
    </row>
    <row r="28" spans="1:12">
      <c r="A28" s="4" t="s">
        <v>358</v>
      </c>
      <c r="B28" s="35" t="s">
        <v>53</v>
      </c>
      <c r="C28" s="55">
        <f>systemtable[[#This Row],[MC Forecast date]]-7</f>
        <v>44368</v>
      </c>
      <c r="D28" s="51">
        <f>systemtable[[#This Row],[Commissioning Forecast Date]]-7</f>
        <v>44375</v>
      </c>
      <c r="E28" s="55">
        <v>44382</v>
      </c>
      <c r="F28" s="35" t="s">
        <v>608</v>
      </c>
      <c r="G28" s="43" t="str">
        <f>IF(COUNT(systemtable[[#This Row],[RFI Issued Date]:[PL Received
Date]])=3,"OK","")</f>
        <v/>
      </c>
      <c r="H28" s="44" t="str">
        <f>IF(systemtable[[#This Row],[REJECTED]]&gt;0,"Status5","status"&amp;COUNT(systemtable[[#This Row],[RFI Issued Date]:[PL Received
Date]])+1)</f>
        <v>status1</v>
      </c>
      <c r="I28" s="45"/>
      <c r="J28" s="45"/>
      <c r="K28" s="45"/>
      <c r="L28" s="46"/>
    </row>
    <row r="29" spans="1:12">
      <c r="A29" s="4" t="s">
        <v>299</v>
      </c>
      <c r="B29" s="58" t="s">
        <v>80</v>
      </c>
      <c r="C29" s="55">
        <f>systemtable[[#This Row],[MC Forecast date]]-7</f>
        <v>44368</v>
      </c>
      <c r="D29" s="51">
        <f>systemtable[[#This Row],[Commissioning Forecast Date]]-7</f>
        <v>44375</v>
      </c>
      <c r="E29" s="55">
        <v>44382</v>
      </c>
      <c r="F29" s="35" t="s">
        <v>591</v>
      </c>
      <c r="G29" s="43" t="str">
        <f>IF(COUNT(systemtable[[#This Row],[RFI Issued Date]:[PL Received
Date]])=3,"OK","")</f>
        <v/>
      </c>
      <c r="H29" s="44" t="str">
        <f>IF(systemtable[[#This Row],[REJECTED]]&gt;0,"Status5","status"&amp;COUNT(systemtable[[#This Row],[RFI Issued Date]:[PL Received
Date]])+1)</f>
        <v>status1</v>
      </c>
      <c r="I29" s="45"/>
      <c r="J29" s="45"/>
      <c r="K29" s="45"/>
      <c r="L29" s="46"/>
    </row>
    <row r="30" spans="1:12">
      <c r="A30" s="4" t="s">
        <v>359</v>
      </c>
      <c r="B30" s="35" t="s">
        <v>56</v>
      </c>
      <c r="C30" s="55">
        <f>systemtable[[#This Row],[MC Forecast date]]-7</f>
        <v>44368</v>
      </c>
      <c r="D30" s="51">
        <f>systemtable[[#This Row],[Commissioning Forecast Date]]-7</f>
        <v>44375</v>
      </c>
      <c r="E30" s="55">
        <v>44382</v>
      </c>
      <c r="F30" s="35" t="s">
        <v>608</v>
      </c>
      <c r="G30" s="43" t="str">
        <f>IF(COUNT(systemtable[[#This Row],[RFI Issued Date]:[PL Received
Date]])=3,"OK","")</f>
        <v/>
      </c>
      <c r="H30" s="44" t="str">
        <f>IF(systemtable[[#This Row],[REJECTED]]&gt;0,"Status5","status"&amp;COUNT(systemtable[[#This Row],[RFI Issued Date]:[PL Received
Date]])+1)</f>
        <v>status1</v>
      </c>
      <c r="I30" s="45"/>
      <c r="J30" s="45"/>
      <c r="K30" s="45"/>
      <c r="L30" s="46"/>
    </row>
    <row r="31" spans="1:12">
      <c r="A31" s="4" t="s">
        <v>360</v>
      </c>
      <c r="B31" s="35" t="s">
        <v>58</v>
      </c>
      <c r="C31" s="55">
        <f>systemtable[[#This Row],[MC Forecast date]]-7</f>
        <v>44368</v>
      </c>
      <c r="D31" s="51">
        <f>systemtable[[#This Row],[Commissioning Forecast Date]]-7</f>
        <v>44375</v>
      </c>
      <c r="E31" s="55">
        <v>44382</v>
      </c>
      <c r="F31" s="35" t="s">
        <v>608</v>
      </c>
      <c r="G31" s="43" t="str">
        <f>IF(COUNT(systemtable[[#This Row],[RFI Issued Date]:[PL Received
Date]])=3,"OK","")</f>
        <v/>
      </c>
      <c r="H31" s="44" t="str">
        <f>IF(systemtable[[#This Row],[REJECTED]]&gt;0,"Status5","status"&amp;COUNT(systemtable[[#This Row],[RFI Issued Date]:[PL Received
Date]])+1)</f>
        <v>status1</v>
      </c>
      <c r="I31" s="45"/>
      <c r="J31" s="45"/>
      <c r="K31" s="45"/>
      <c r="L31" s="46"/>
    </row>
    <row r="32" spans="1:12">
      <c r="A32" s="4" t="s">
        <v>362</v>
      </c>
      <c r="B32" s="41" t="s">
        <v>61</v>
      </c>
      <c r="C32" s="55">
        <f>systemtable[[#This Row],[MC Forecast date]]-7</f>
        <v>44368</v>
      </c>
      <c r="D32" s="51">
        <f>systemtable[[#This Row],[Commissioning Forecast Date]]-7</f>
        <v>44375</v>
      </c>
      <c r="E32" s="55">
        <v>44382</v>
      </c>
      <c r="F32" s="35" t="s">
        <v>608</v>
      </c>
      <c r="G32" s="43" t="str">
        <f>IF(COUNT(systemtable[[#This Row],[RFI Issued Date]:[PL Received
Date]])=3,"OK","")</f>
        <v/>
      </c>
      <c r="H32" s="44" t="str">
        <f>IF(systemtable[[#This Row],[REJECTED]]&gt;0,"Status5","status"&amp;COUNT(systemtable[[#This Row],[RFI Issued Date]:[PL Received
Date]])+1)</f>
        <v>status1</v>
      </c>
      <c r="I32" s="45"/>
      <c r="J32" s="45"/>
      <c r="K32" s="45"/>
      <c r="L32" s="46"/>
    </row>
    <row r="33" spans="1:12">
      <c r="A33" s="4" t="s">
        <v>304</v>
      </c>
      <c r="B33" s="58" t="s">
        <v>83</v>
      </c>
      <c r="C33" s="55">
        <f>systemtable[[#This Row],[MC Forecast date]]-7</f>
        <v>44368</v>
      </c>
      <c r="D33" s="51">
        <f>systemtable[[#This Row],[Commissioning Forecast Date]]-7</f>
        <v>44375</v>
      </c>
      <c r="E33" s="55">
        <v>44382</v>
      </c>
      <c r="F33" s="35" t="s">
        <v>591</v>
      </c>
      <c r="G33" s="43" t="str">
        <f>IF(COUNT(systemtable[[#This Row],[RFI Issued Date]:[PL Received
Date]])=3,"OK","")</f>
        <v/>
      </c>
      <c r="H33" s="44" t="str">
        <f>IF(systemtable[[#This Row],[REJECTED]]&gt;0,"Status5","status"&amp;COUNT(systemtable[[#This Row],[RFI Issued Date]:[PL Received
Date]])+1)</f>
        <v>status1</v>
      </c>
      <c r="I33" s="45"/>
      <c r="J33" s="45"/>
      <c r="K33" s="45"/>
      <c r="L33" s="46"/>
    </row>
    <row r="34" spans="1:12">
      <c r="A34" s="4" t="s">
        <v>300</v>
      </c>
      <c r="B34" s="58" t="s">
        <v>84</v>
      </c>
      <c r="C34" s="55">
        <f>systemtable[[#This Row],[MC Forecast date]]-7</f>
        <v>44368</v>
      </c>
      <c r="D34" s="51">
        <f>systemtable[[#This Row],[Commissioning Forecast Date]]-7</f>
        <v>44375</v>
      </c>
      <c r="E34" s="55">
        <v>44382</v>
      </c>
      <c r="F34" s="35" t="s">
        <v>591</v>
      </c>
      <c r="G34" s="43" t="str">
        <f>IF(COUNT(systemtable[[#This Row],[RFI Issued Date]:[PL Received
Date]])=3,"OK","")</f>
        <v/>
      </c>
      <c r="H34" s="44" t="str">
        <f>IF(systemtable[[#This Row],[REJECTED]]&gt;0,"Status5","status"&amp;COUNT(systemtable[[#This Row],[RFI Issued Date]:[PL Received
Date]])+1)</f>
        <v>status1</v>
      </c>
      <c r="I34" s="45"/>
      <c r="J34" s="45"/>
      <c r="K34" s="45"/>
      <c r="L34" s="46"/>
    </row>
    <row r="35" spans="1:12">
      <c r="A35" s="4" t="s">
        <v>296</v>
      </c>
      <c r="B35" s="58" t="s">
        <v>88</v>
      </c>
      <c r="C35" s="55">
        <f>systemtable[[#This Row],[MC Forecast date]]-7</f>
        <v>44368</v>
      </c>
      <c r="D35" s="51">
        <f>systemtable[[#This Row],[Commissioning Forecast Date]]-7</f>
        <v>44375</v>
      </c>
      <c r="E35" s="55">
        <v>44382</v>
      </c>
      <c r="F35" s="35" t="s">
        <v>591</v>
      </c>
      <c r="G35" s="43" t="str">
        <f>IF(COUNT(systemtable[[#This Row],[RFI Issued Date]:[PL Received
Date]])=3,"OK","")</f>
        <v/>
      </c>
      <c r="H35" s="44" t="str">
        <f>IF(systemtable[[#This Row],[REJECTED]]&gt;0,"Status5","status"&amp;COUNT(systemtable[[#This Row],[RFI Issued Date]:[PL Received
Date]])+1)</f>
        <v>status1</v>
      </c>
      <c r="I35" s="45"/>
      <c r="J35" s="45"/>
      <c r="K35" s="45"/>
      <c r="L35" s="46"/>
    </row>
    <row r="36" spans="1:12">
      <c r="A36" s="4" t="s">
        <v>303</v>
      </c>
      <c r="B36" s="62" t="s">
        <v>302</v>
      </c>
      <c r="C36" s="55">
        <f>systemtable[[#This Row],[MC Forecast date]]-7</f>
        <v>44368</v>
      </c>
      <c r="D36" s="51">
        <f>systemtable[[#This Row],[Commissioning Forecast Date]]-7</f>
        <v>44375</v>
      </c>
      <c r="E36" s="55">
        <v>44382</v>
      </c>
      <c r="F36" s="35" t="s">
        <v>591</v>
      </c>
      <c r="G36" s="43" t="str">
        <f>IF(COUNT(systemtable[[#This Row],[RFI Issued Date]:[PL Received
Date]])=3,"OK","")</f>
        <v/>
      </c>
      <c r="H36" s="44" t="str">
        <f>IF(systemtable[[#This Row],[REJECTED]]&gt;0,"Status5","status"&amp;COUNT(systemtable[[#This Row],[RFI Issued Date]:[PL Received
Date]])+1)</f>
        <v>status1</v>
      </c>
      <c r="I36" s="45"/>
      <c r="J36" s="45"/>
      <c r="K36" s="45"/>
      <c r="L36" s="46"/>
    </row>
    <row r="37" spans="1:12">
      <c r="A37" s="4" t="s">
        <v>382</v>
      </c>
      <c r="B37" s="59" t="s">
        <v>654</v>
      </c>
      <c r="C37" s="55">
        <f>systemtable[[#This Row],[MC Forecast date]]-7</f>
        <v>44375</v>
      </c>
      <c r="D37" s="51">
        <f>systemtable[[#This Row],[Commissioning Forecast Date]]-7</f>
        <v>44382</v>
      </c>
      <c r="E37" s="55">
        <v>44389</v>
      </c>
      <c r="F37" s="35" t="s">
        <v>611</v>
      </c>
      <c r="G37" s="43" t="str">
        <f>IF(COUNT(systemtable[[#This Row],[RFI Issued Date]:[PL Received
Date]])=3,"OK","")</f>
        <v/>
      </c>
      <c r="H37" s="44" t="str">
        <f>IF(systemtable[[#This Row],[REJECTED]]&gt;0,"Status5","status"&amp;COUNT(systemtable[[#This Row],[RFI Issued Date]:[PL Received
Date]])+1)</f>
        <v>status1</v>
      </c>
      <c r="I37" s="45"/>
      <c r="J37" s="45"/>
      <c r="K37" s="45"/>
      <c r="L37" s="46"/>
    </row>
    <row r="38" spans="1:12">
      <c r="A38" s="4" t="s">
        <v>381</v>
      </c>
      <c r="B38" s="63" t="s">
        <v>641</v>
      </c>
      <c r="C38" s="55">
        <f>systemtable[[#This Row],[MC Forecast date]]-7</f>
        <v>44375</v>
      </c>
      <c r="D38" s="51">
        <f>systemtable[[#This Row],[Commissioning Forecast Date]]-7</f>
        <v>44382</v>
      </c>
      <c r="E38" s="55">
        <v>44389</v>
      </c>
      <c r="F38" s="35" t="s">
        <v>611</v>
      </c>
      <c r="G38" s="43" t="str">
        <f>IF(COUNT(systemtable[[#This Row],[RFI Issued Date]:[PL Received
Date]])=3,"OK","")</f>
        <v/>
      </c>
      <c r="H38" s="44" t="str">
        <f>IF(systemtable[[#This Row],[REJECTED]]&gt;0,"Status5","status"&amp;COUNT(systemtable[[#This Row],[RFI Issued Date]:[PL Received
Date]])+1)</f>
        <v>status1</v>
      </c>
      <c r="I38" s="45"/>
      <c r="J38" s="45"/>
      <c r="K38" s="45"/>
      <c r="L38" s="46"/>
    </row>
    <row r="39" spans="1:12">
      <c r="A39" s="4" t="s">
        <v>379</v>
      </c>
      <c r="B39" s="58" t="s">
        <v>340</v>
      </c>
      <c r="C39" s="55">
        <f>systemtable[[#This Row],[MC Forecast date]]-7</f>
        <v>44375</v>
      </c>
      <c r="D39" s="51">
        <f>systemtable[[#This Row],[Commissioning Forecast Date]]-7</f>
        <v>44382</v>
      </c>
      <c r="E39" s="55">
        <v>44389</v>
      </c>
      <c r="F39" s="35" t="s">
        <v>611</v>
      </c>
      <c r="G39" s="43" t="str">
        <f>IF(COUNT(systemtable[[#This Row],[RFI Issued Date]:[PL Received
Date]])=3,"OK","")</f>
        <v/>
      </c>
      <c r="H39" s="44" t="str">
        <f>IF(systemtable[[#This Row],[REJECTED]]&gt;0,"Status5","status"&amp;COUNT(systemtable[[#This Row],[RFI Issued Date]:[PL Received
Date]])+1)</f>
        <v>status1</v>
      </c>
      <c r="I39" s="45"/>
      <c r="J39" s="45"/>
      <c r="K39" s="45"/>
      <c r="L39" s="46"/>
    </row>
    <row r="40" spans="1:12">
      <c r="A40" s="4" t="s">
        <v>395</v>
      </c>
      <c r="B40" s="35" t="s">
        <v>346</v>
      </c>
      <c r="C40" s="55">
        <f>systemtable[[#This Row],[MC Forecast date]]-7</f>
        <v>44375</v>
      </c>
      <c r="D40" s="51">
        <f>systemtable[[#This Row],[Commissioning Forecast Date]]-7</f>
        <v>44382</v>
      </c>
      <c r="E40" s="55">
        <v>44389</v>
      </c>
      <c r="F40" s="35" t="s">
        <v>611</v>
      </c>
      <c r="G40" s="43" t="str">
        <f>IF(COUNT(systemtable[[#This Row],[RFI Issued Date]:[PL Received
Date]])=3,"OK","")</f>
        <v/>
      </c>
      <c r="H40" s="44" t="str">
        <f>IF(systemtable[[#This Row],[REJECTED]]&gt;0,"Status5","status"&amp;COUNT(systemtable[[#This Row],[RFI Issued Date]:[PL Received
Date]])+1)</f>
        <v>status1</v>
      </c>
      <c r="I40" s="45"/>
      <c r="J40" s="45"/>
      <c r="K40" s="45"/>
      <c r="L40" s="46"/>
    </row>
    <row r="41" spans="1:12">
      <c r="A41" s="4" t="s">
        <v>374</v>
      </c>
      <c r="B41" s="35" t="s">
        <v>364</v>
      </c>
      <c r="C41" s="55">
        <f>systemtable[[#This Row],[MC Forecast date]]-7</f>
        <v>44375</v>
      </c>
      <c r="D41" s="51">
        <f>systemtable[[#This Row],[Commissioning Forecast Date]]-7</f>
        <v>44382</v>
      </c>
      <c r="E41" s="55">
        <v>44389</v>
      </c>
      <c r="F41" s="35" t="s">
        <v>611</v>
      </c>
      <c r="G41" s="43" t="str">
        <f>IF(COUNT(systemtable[[#This Row],[RFI Issued Date]:[PL Received
Date]])=3,"OK","")</f>
        <v/>
      </c>
      <c r="H41" s="44" t="str">
        <f>IF(systemtable[[#This Row],[REJECTED]]&gt;0,"Status5","status"&amp;COUNT(systemtable[[#This Row],[RFI Issued Date]:[PL Received
Date]])+1)</f>
        <v>status1</v>
      </c>
      <c r="I41" s="45"/>
      <c r="J41" s="45"/>
      <c r="K41" s="45"/>
      <c r="L41" s="46"/>
    </row>
    <row r="42" spans="1:12">
      <c r="A42" s="4" t="s">
        <v>384</v>
      </c>
      <c r="B42" s="35" t="s">
        <v>348</v>
      </c>
      <c r="C42" s="55">
        <f>systemtable[[#This Row],[MC Forecast date]]-7</f>
        <v>44375</v>
      </c>
      <c r="D42" s="51">
        <f>systemtable[[#This Row],[Commissioning Forecast Date]]-7</f>
        <v>44382</v>
      </c>
      <c r="E42" s="55">
        <v>44389</v>
      </c>
      <c r="F42" s="35" t="s">
        <v>611</v>
      </c>
      <c r="G42" s="43" t="str">
        <f>IF(COUNT(systemtable[[#This Row],[RFI Issued Date]:[PL Received
Date]])=3,"OK","")</f>
        <v/>
      </c>
      <c r="H42" s="44" t="str">
        <f>IF(systemtable[[#This Row],[REJECTED]]&gt;0,"Status5","status"&amp;COUNT(systemtable[[#This Row],[RFI Issued Date]:[PL Received
Date]])+1)</f>
        <v>status1</v>
      </c>
      <c r="I42" s="45"/>
      <c r="J42" s="45"/>
      <c r="K42" s="45"/>
      <c r="L42" s="46"/>
    </row>
    <row r="43" spans="1:12">
      <c r="A43" s="4" t="s">
        <v>387</v>
      </c>
      <c r="B43" s="35" t="s">
        <v>386</v>
      </c>
      <c r="C43" s="55">
        <f>systemtable[[#This Row],[MC Forecast date]]-7</f>
        <v>44375</v>
      </c>
      <c r="D43" s="51">
        <f>systemtable[[#This Row],[Commissioning Forecast Date]]-7</f>
        <v>44382</v>
      </c>
      <c r="E43" s="55">
        <v>44389</v>
      </c>
      <c r="F43" s="35" t="s">
        <v>611</v>
      </c>
      <c r="G43" s="43" t="str">
        <f>IF(COUNT(systemtable[[#This Row],[RFI Issued Date]:[PL Received
Date]])=3,"OK","")</f>
        <v/>
      </c>
      <c r="H43" s="44" t="str">
        <f>IF(systemtable[[#This Row],[REJECTED]]&gt;0,"Status5","status"&amp;COUNT(systemtable[[#This Row],[RFI Issued Date]:[PL Received
Date]])+1)</f>
        <v>status1</v>
      </c>
      <c r="I43" s="45"/>
      <c r="J43" s="45"/>
      <c r="K43" s="45"/>
      <c r="L43" s="46"/>
    </row>
    <row r="44" spans="1:12">
      <c r="A44" s="34" t="s">
        <v>391</v>
      </c>
      <c r="B44" s="35" t="s">
        <v>390</v>
      </c>
      <c r="C44" s="55">
        <f>systemtable[[#This Row],[MC Forecast date]]-7</f>
        <v>44375</v>
      </c>
      <c r="D44" s="51">
        <f>systemtable[[#This Row],[Commissioning Forecast Date]]-7</f>
        <v>44382</v>
      </c>
      <c r="E44" s="55">
        <v>44389</v>
      </c>
      <c r="F44" s="35" t="s">
        <v>611</v>
      </c>
      <c r="G44" s="43" t="str">
        <f>IF(COUNT(systemtable[[#This Row],[RFI Issued Date]:[PL Received
Date]])=3,"OK","")</f>
        <v/>
      </c>
      <c r="H44" s="44" t="str">
        <f>IF(systemtable[[#This Row],[REJECTED]]&gt;0,"Status5","status"&amp;COUNT(systemtable[[#This Row],[RFI Issued Date]:[PL Received
Date]])+1)</f>
        <v>status1</v>
      </c>
      <c r="I44" s="45"/>
      <c r="J44" s="45"/>
      <c r="K44" s="45"/>
      <c r="L44" s="46"/>
    </row>
    <row r="45" spans="1:12">
      <c r="A45" s="34" t="s">
        <v>394</v>
      </c>
      <c r="B45" s="35" t="s">
        <v>393</v>
      </c>
      <c r="C45" s="55">
        <f>systemtable[[#This Row],[MC Forecast date]]-7</f>
        <v>44375</v>
      </c>
      <c r="D45" s="51">
        <f>systemtable[[#This Row],[Commissioning Forecast Date]]-7</f>
        <v>44382</v>
      </c>
      <c r="E45" s="55">
        <v>44389</v>
      </c>
      <c r="F45" s="35" t="s">
        <v>611</v>
      </c>
      <c r="G45" s="43" t="str">
        <f>IF(COUNT(systemtable[[#This Row],[RFI Issued Date]:[PL Received
Date]])=3,"OK","")</f>
        <v/>
      </c>
      <c r="H45" s="44" t="str">
        <f>IF(systemtable[[#This Row],[REJECTED]]&gt;0,"Status5","status"&amp;COUNT(systemtable[[#This Row],[RFI Issued Date]:[PL Received
Date]])+1)</f>
        <v>status1</v>
      </c>
      <c r="I45" s="45"/>
      <c r="J45" s="45"/>
      <c r="K45" s="45"/>
      <c r="L45" s="46"/>
    </row>
    <row r="46" spans="1:12">
      <c r="A46" s="4" t="s">
        <v>398</v>
      </c>
      <c r="B46" s="35" t="s">
        <v>657</v>
      </c>
      <c r="C46" s="55">
        <f>systemtable[[#This Row],[MC Forecast date]]-7</f>
        <v>44375</v>
      </c>
      <c r="D46" s="51">
        <f>systemtable[[#This Row],[Commissioning Forecast Date]]-7</f>
        <v>44382</v>
      </c>
      <c r="E46" s="55">
        <v>44389</v>
      </c>
      <c r="F46" s="35" t="s">
        <v>612</v>
      </c>
      <c r="G46" s="43" t="str">
        <f>IF(COUNT(systemtable[[#This Row],[RFI Issued Date]:[PL Received
Date]])=3,"OK","")</f>
        <v/>
      </c>
      <c r="H46" s="44" t="str">
        <f>IF(systemtable[[#This Row],[REJECTED]]&gt;0,"Status5","status"&amp;COUNT(systemtable[[#This Row],[RFI Issued Date]:[PL Received
Date]])+1)</f>
        <v>status1</v>
      </c>
      <c r="I46" s="45"/>
      <c r="J46" s="45"/>
      <c r="K46" s="45"/>
      <c r="L46" s="46"/>
    </row>
    <row r="47" spans="1:12">
      <c r="A47" s="39" t="s">
        <v>400</v>
      </c>
      <c r="B47" s="64" t="s">
        <v>645</v>
      </c>
      <c r="C47" s="55">
        <f>systemtable[[#This Row],[MC Forecast date]]-7</f>
        <v>44375</v>
      </c>
      <c r="D47" s="51">
        <f>systemtable[[#This Row],[Commissioning Forecast Date]]-7</f>
        <v>44382</v>
      </c>
      <c r="E47" s="55">
        <v>44389</v>
      </c>
      <c r="F47" s="35" t="s">
        <v>612</v>
      </c>
      <c r="G47" s="43" t="str">
        <f>IF(COUNT(systemtable[[#This Row],[RFI Issued Date]:[PL Received
Date]])=3,"OK","")</f>
        <v/>
      </c>
      <c r="H47" s="44" t="str">
        <f>IF(systemtable[[#This Row],[REJECTED]]&gt;0,"Status5","status"&amp;COUNT(systemtable[[#This Row],[RFI Issued Date]:[PL Received
Date]])+1)</f>
        <v>status1</v>
      </c>
      <c r="I47" s="45"/>
      <c r="J47" s="45"/>
      <c r="K47" s="45"/>
      <c r="L47" s="46"/>
    </row>
    <row r="48" spans="1:12">
      <c r="A48" s="4" t="s">
        <v>408</v>
      </c>
      <c r="B48" s="35" t="s">
        <v>354</v>
      </c>
      <c r="C48" s="55">
        <f>systemtable[[#This Row],[MC Forecast date]]-7</f>
        <v>44375</v>
      </c>
      <c r="D48" s="51">
        <f>systemtable[[#This Row],[Commissioning Forecast Date]]-7</f>
        <v>44382</v>
      </c>
      <c r="E48" s="55">
        <v>44389</v>
      </c>
      <c r="F48" s="35" t="s">
        <v>612</v>
      </c>
      <c r="G48" s="43" t="str">
        <f>IF(COUNT(systemtable[[#This Row],[RFI Issued Date]:[PL Received
Date]])=3,"OK","")</f>
        <v/>
      </c>
      <c r="H48" s="44" t="str">
        <f>IF(systemtable[[#This Row],[REJECTED]]&gt;0,"Status5","status"&amp;COUNT(systemtable[[#This Row],[RFI Issued Date]:[PL Received
Date]])+1)</f>
        <v>status1</v>
      </c>
      <c r="I48" s="45"/>
      <c r="J48" s="45"/>
      <c r="K48" s="45"/>
      <c r="L48" s="46"/>
    </row>
    <row r="49" spans="1:12">
      <c r="A49" s="4" t="s">
        <v>402</v>
      </c>
      <c r="B49" s="35" t="s">
        <v>352</v>
      </c>
      <c r="C49" s="55">
        <f>systemtable[[#This Row],[MC Forecast date]]-7</f>
        <v>44375</v>
      </c>
      <c r="D49" s="51">
        <f>systemtable[[#This Row],[Commissioning Forecast Date]]-7</f>
        <v>44382</v>
      </c>
      <c r="E49" s="55">
        <v>44389</v>
      </c>
      <c r="F49" s="35" t="s">
        <v>612</v>
      </c>
      <c r="G49" s="43" t="str">
        <f>IF(COUNT(systemtable[[#This Row],[RFI Issued Date]:[PL Received
Date]])=3,"OK","")</f>
        <v/>
      </c>
      <c r="H49" s="44" t="str">
        <f>IF(systemtable[[#This Row],[REJECTED]]&gt;0,"Status5","status"&amp;COUNT(systemtable[[#This Row],[RFI Issued Date]:[PL Received
Date]])+1)</f>
        <v>status1</v>
      </c>
      <c r="I49" s="45"/>
      <c r="J49" s="45"/>
      <c r="K49" s="45"/>
      <c r="L49" s="46"/>
    </row>
    <row r="50" spans="1:12">
      <c r="A50" s="4" t="s">
        <v>404</v>
      </c>
      <c r="B50" s="35" t="s">
        <v>356</v>
      </c>
      <c r="C50" s="55">
        <f>systemtable[[#This Row],[MC Forecast date]]-7</f>
        <v>44375</v>
      </c>
      <c r="D50" s="51">
        <f>systemtable[[#This Row],[Commissioning Forecast Date]]-7</f>
        <v>44382</v>
      </c>
      <c r="E50" s="55">
        <v>44389</v>
      </c>
      <c r="F50" s="35" t="s">
        <v>612</v>
      </c>
      <c r="G50" s="43" t="str">
        <f>IF(COUNT(systemtable[[#This Row],[RFI Issued Date]:[PL Received
Date]])=3,"OK","")</f>
        <v/>
      </c>
      <c r="H50" s="44" t="str">
        <f>IF(systemtable[[#This Row],[REJECTED]]&gt;0,"Status5","status"&amp;COUNT(systemtable[[#This Row],[RFI Issued Date]:[PL Received
Date]])+1)</f>
        <v>status1</v>
      </c>
      <c r="I50" s="45"/>
      <c r="J50" s="45"/>
      <c r="K50" s="45"/>
      <c r="L50" s="46"/>
    </row>
    <row r="51" spans="1:12">
      <c r="A51" s="4" t="s">
        <v>406</v>
      </c>
      <c r="B51" s="35" t="s">
        <v>357</v>
      </c>
      <c r="C51" s="55">
        <f>systemtable[[#This Row],[MC Forecast date]]-7</f>
        <v>44375</v>
      </c>
      <c r="D51" s="51">
        <f>systemtable[[#This Row],[Commissioning Forecast Date]]-7</f>
        <v>44382</v>
      </c>
      <c r="E51" s="55">
        <v>44389</v>
      </c>
      <c r="F51" s="35" t="s">
        <v>612</v>
      </c>
      <c r="G51" s="43" t="str">
        <f>IF(COUNT(systemtable[[#This Row],[RFI Issued Date]:[PL Received
Date]])=3,"OK","")</f>
        <v/>
      </c>
      <c r="H51" s="44" t="str">
        <f>IF(systemtable[[#This Row],[REJECTED]]&gt;0,"Status5","status"&amp;COUNT(systemtable[[#This Row],[RFI Issued Date]:[PL Received
Date]])+1)</f>
        <v>status1</v>
      </c>
      <c r="I51" s="45"/>
      <c r="J51" s="45"/>
      <c r="K51" s="45"/>
      <c r="L51" s="46"/>
    </row>
    <row r="52" spans="1:12">
      <c r="A52" s="4" t="s">
        <v>480</v>
      </c>
      <c r="B52" s="41" t="s">
        <v>368</v>
      </c>
      <c r="C52" s="55">
        <f>systemtable[[#This Row],[MC Forecast date]]-7</f>
        <v>44382</v>
      </c>
      <c r="D52" s="51">
        <f>systemtable[[#This Row],[Commissioning Forecast Date]]-7</f>
        <v>44389</v>
      </c>
      <c r="E52" s="55">
        <v>44396</v>
      </c>
      <c r="F52" s="35" t="s">
        <v>617</v>
      </c>
      <c r="G52" s="43" t="str">
        <f>IF(COUNT(systemtable[[#This Row],[RFI Issued Date]:[PL Received
Date]])=3,"OK","")</f>
        <v/>
      </c>
      <c r="H52" s="44" t="str">
        <f>IF(systemtable[[#This Row],[REJECTED]]&gt;0,"Status5","status"&amp;COUNT(systemtable[[#This Row],[RFI Issued Date]:[PL Received
Date]])+1)</f>
        <v>status1</v>
      </c>
      <c r="I52" s="45"/>
      <c r="J52" s="45"/>
      <c r="K52" s="45"/>
      <c r="L52" s="46"/>
    </row>
    <row r="53" spans="1:12">
      <c r="A53" s="4" t="s">
        <v>464</v>
      </c>
      <c r="B53" s="35" t="s">
        <v>396</v>
      </c>
      <c r="C53" s="55">
        <f>systemtable[[#This Row],[MC Forecast date]]-7</f>
        <v>44382</v>
      </c>
      <c r="D53" s="51">
        <f>systemtable[[#This Row],[Commissioning Forecast Date]]-7</f>
        <v>44389</v>
      </c>
      <c r="E53" s="55">
        <v>44396</v>
      </c>
      <c r="F53" s="35" t="s">
        <v>617</v>
      </c>
      <c r="G53" s="43" t="str">
        <f>IF(COUNT(systemtable[[#This Row],[RFI Issued Date]:[PL Received
Date]])=3,"OK","")</f>
        <v/>
      </c>
      <c r="H53" s="44" t="str">
        <f>IF(systemtable[[#This Row],[REJECTED]]&gt;0,"Status5","status"&amp;COUNT(systemtable[[#This Row],[RFI Issued Date]:[PL Received
Date]])+1)</f>
        <v>status1</v>
      </c>
      <c r="I53" s="45"/>
      <c r="J53" s="45"/>
      <c r="K53" s="45"/>
      <c r="L53" s="46"/>
    </row>
    <row r="54" spans="1:12">
      <c r="A54" s="4" t="s">
        <v>451</v>
      </c>
      <c r="B54" s="35" t="s">
        <v>401</v>
      </c>
      <c r="C54" s="55">
        <f>systemtable[[#This Row],[MC Forecast date]]-7</f>
        <v>44382</v>
      </c>
      <c r="D54" s="51">
        <f>systemtable[[#This Row],[Commissioning Forecast Date]]-7</f>
        <v>44389</v>
      </c>
      <c r="E54" s="55">
        <v>44396</v>
      </c>
      <c r="F54" s="35" t="s">
        <v>617</v>
      </c>
      <c r="G54" s="43" t="str">
        <f>IF(COUNT(systemtable[[#This Row],[RFI Issued Date]:[PL Received
Date]])=3,"OK","")</f>
        <v/>
      </c>
      <c r="H54" s="44" t="str">
        <f>IF(systemtable[[#This Row],[REJECTED]]&gt;0,"Status5","status"&amp;COUNT(systemtable[[#This Row],[RFI Issued Date]:[PL Received
Date]])+1)</f>
        <v>status1</v>
      </c>
      <c r="I54" s="45"/>
      <c r="J54" s="45"/>
      <c r="K54" s="45"/>
      <c r="L54" s="46"/>
    </row>
    <row r="55" spans="1:12">
      <c r="A55" s="4" t="s">
        <v>453</v>
      </c>
      <c r="B55" s="35" t="s">
        <v>399</v>
      </c>
      <c r="C55" s="55">
        <f>systemtable[[#This Row],[MC Forecast date]]-7</f>
        <v>44382</v>
      </c>
      <c r="D55" s="51">
        <f>systemtable[[#This Row],[Commissioning Forecast Date]]-7</f>
        <v>44389</v>
      </c>
      <c r="E55" s="55">
        <v>44396</v>
      </c>
      <c r="F55" s="35" t="s">
        <v>617</v>
      </c>
      <c r="G55" s="43" t="str">
        <f>IF(COUNT(systemtable[[#This Row],[RFI Issued Date]:[PL Received
Date]])=3,"OK","")</f>
        <v/>
      </c>
      <c r="H55" s="44" t="str">
        <f>IF(systemtable[[#This Row],[REJECTED]]&gt;0,"Status5","status"&amp;COUNT(systemtable[[#This Row],[RFI Issued Date]:[PL Received
Date]])+1)</f>
        <v>status1</v>
      </c>
      <c r="I55" s="45"/>
      <c r="J55" s="45"/>
      <c r="K55" s="45"/>
      <c r="L55" s="46"/>
    </row>
    <row r="56" spans="1:12">
      <c r="A56" s="4" t="s">
        <v>456</v>
      </c>
      <c r="B56" s="59" t="s">
        <v>375</v>
      </c>
      <c r="C56" s="55">
        <f>systemtable[[#This Row],[MC Forecast date]]-7</f>
        <v>44382</v>
      </c>
      <c r="D56" s="51">
        <f>systemtable[[#This Row],[Commissioning Forecast Date]]-7</f>
        <v>44389</v>
      </c>
      <c r="E56" s="55">
        <v>44396</v>
      </c>
      <c r="F56" s="35" t="s">
        <v>617</v>
      </c>
      <c r="G56" s="43" t="str">
        <f>IF(COUNT(systemtable[[#This Row],[RFI Issued Date]:[PL Received
Date]])=3,"OK","")</f>
        <v/>
      </c>
      <c r="H56" s="44" t="str">
        <f>IF(systemtable[[#This Row],[REJECTED]]&gt;0,"Status5","status"&amp;COUNT(systemtable[[#This Row],[RFI Issued Date]:[PL Received
Date]])+1)</f>
        <v>status1</v>
      </c>
      <c r="I56" s="45"/>
      <c r="J56" s="45"/>
      <c r="K56" s="45"/>
      <c r="L56" s="46"/>
    </row>
    <row r="57" spans="1:12">
      <c r="A57" s="4" t="s">
        <v>470</v>
      </c>
      <c r="B57" s="41" t="s">
        <v>403</v>
      </c>
      <c r="C57" s="55">
        <f>systemtable[[#This Row],[MC Forecast date]]-7</f>
        <v>44382</v>
      </c>
      <c r="D57" s="51">
        <f>systemtable[[#This Row],[Commissioning Forecast Date]]-7</f>
        <v>44389</v>
      </c>
      <c r="E57" s="55">
        <v>44396</v>
      </c>
      <c r="F57" s="35" t="s">
        <v>617</v>
      </c>
      <c r="G57" s="43" t="str">
        <f>IF(COUNT(systemtable[[#This Row],[RFI Issued Date]:[PL Received
Date]])=3,"OK","")</f>
        <v/>
      </c>
      <c r="H57" s="44" t="str">
        <f>IF(systemtable[[#This Row],[REJECTED]]&gt;0,"Status5","status"&amp;COUNT(systemtable[[#This Row],[RFI Issued Date]:[PL Received
Date]])+1)</f>
        <v>status1</v>
      </c>
      <c r="I57" s="45"/>
      <c r="J57" s="45"/>
      <c r="K57" s="45"/>
      <c r="L57" s="46"/>
    </row>
    <row r="58" spans="1:12">
      <c r="A58" s="4" t="s">
        <v>472</v>
      </c>
      <c r="B58" s="41" t="s">
        <v>405</v>
      </c>
      <c r="C58" s="55">
        <f>systemtable[[#This Row],[MC Forecast date]]-7</f>
        <v>44382</v>
      </c>
      <c r="D58" s="51">
        <f>systemtable[[#This Row],[Commissioning Forecast Date]]-7</f>
        <v>44389</v>
      </c>
      <c r="E58" s="55">
        <v>44396</v>
      </c>
      <c r="F58" s="35" t="s">
        <v>617</v>
      </c>
      <c r="G58" s="43" t="str">
        <f>IF(COUNT(systemtable[[#This Row],[RFI Issued Date]:[PL Received
Date]])=3,"OK","")</f>
        <v/>
      </c>
      <c r="H58" s="44" t="str">
        <f>IF(systemtable[[#This Row],[REJECTED]]&gt;0,"Status5","status"&amp;COUNT(systemtable[[#This Row],[RFI Issued Date]:[PL Received
Date]])+1)</f>
        <v>status1</v>
      </c>
      <c r="I58" s="45"/>
      <c r="J58" s="45"/>
      <c r="K58" s="45"/>
      <c r="L58" s="46"/>
    </row>
    <row r="59" spans="1:12">
      <c r="A59" s="4" t="s">
        <v>479</v>
      </c>
      <c r="B59" s="41" t="s">
        <v>410</v>
      </c>
      <c r="C59" s="55">
        <f>systemtable[[#This Row],[MC Forecast date]]-7</f>
        <v>44382</v>
      </c>
      <c r="D59" s="51">
        <f>systemtable[[#This Row],[Commissioning Forecast Date]]-7</f>
        <v>44389</v>
      </c>
      <c r="E59" s="55">
        <v>44396</v>
      </c>
      <c r="F59" s="35" t="s">
        <v>617</v>
      </c>
      <c r="G59" s="43" t="str">
        <f>IF(COUNT(systemtable[[#This Row],[RFI Issued Date]:[PL Received
Date]])=3,"OK","")</f>
        <v/>
      </c>
      <c r="H59" s="44" t="str">
        <f>IF(systemtable[[#This Row],[REJECTED]]&gt;0,"Status5","status"&amp;COUNT(systemtable[[#This Row],[RFI Issued Date]:[PL Received
Date]])+1)</f>
        <v>status1</v>
      </c>
      <c r="I59" s="45"/>
      <c r="J59" s="45"/>
      <c r="K59" s="45"/>
      <c r="L59" s="46"/>
    </row>
    <row r="60" spans="1:12">
      <c r="A60" s="4" t="s">
        <v>473</v>
      </c>
      <c r="B60" s="41" t="s">
        <v>407</v>
      </c>
      <c r="C60" s="55">
        <f>systemtable[[#This Row],[MC Forecast date]]-7</f>
        <v>44382</v>
      </c>
      <c r="D60" s="51">
        <f>systemtable[[#This Row],[Commissioning Forecast Date]]-7</f>
        <v>44389</v>
      </c>
      <c r="E60" s="55">
        <v>44396</v>
      </c>
      <c r="F60" s="35" t="s">
        <v>617</v>
      </c>
      <c r="G60" s="43" t="str">
        <f>IF(COUNT(systemtable[[#This Row],[RFI Issued Date]:[PL Received
Date]])=3,"OK","")</f>
        <v/>
      </c>
      <c r="H60" s="44" t="str">
        <f>IF(systemtable[[#This Row],[REJECTED]]&gt;0,"Status5","status"&amp;COUNT(systemtable[[#This Row],[RFI Issued Date]:[PL Received
Date]])+1)</f>
        <v>status1</v>
      </c>
      <c r="I60" s="45"/>
      <c r="J60" s="45"/>
      <c r="K60" s="45"/>
      <c r="L60" s="46"/>
    </row>
    <row r="61" spans="1:12">
      <c r="A61" s="4" t="s">
        <v>475</v>
      </c>
      <c r="B61" s="41" t="s">
        <v>409</v>
      </c>
      <c r="C61" s="55">
        <f>systemtable[[#This Row],[MC Forecast date]]-7</f>
        <v>44382</v>
      </c>
      <c r="D61" s="51">
        <f>systemtable[[#This Row],[Commissioning Forecast Date]]-7</f>
        <v>44389</v>
      </c>
      <c r="E61" s="55">
        <v>44396</v>
      </c>
      <c r="F61" s="35" t="s">
        <v>617</v>
      </c>
      <c r="G61" s="43" t="str">
        <f>IF(COUNT(systemtable[[#This Row],[RFI Issued Date]:[PL Received
Date]])=3,"OK","")</f>
        <v/>
      </c>
      <c r="H61" s="44" t="str">
        <f>IF(systemtable[[#This Row],[REJECTED]]&gt;0,"Status5","status"&amp;COUNT(systemtable[[#This Row],[RFI Issued Date]:[PL Received
Date]])+1)</f>
        <v>status1</v>
      </c>
      <c r="I61" s="45"/>
      <c r="J61" s="45"/>
      <c r="K61" s="45"/>
      <c r="L61" s="46"/>
    </row>
    <row r="62" spans="1:12">
      <c r="A62" s="4" t="s">
        <v>459</v>
      </c>
      <c r="B62" s="41" t="s">
        <v>458</v>
      </c>
      <c r="C62" s="55">
        <f>systemtable[[#This Row],[MC Forecast date]]-7</f>
        <v>44382</v>
      </c>
      <c r="D62" s="51">
        <f>systemtable[[#This Row],[Commissioning Forecast Date]]-7</f>
        <v>44389</v>
      </c>
      <c r="E62" s="55">
        <v>44396</v>
      </c>
      <c r="F62" s="35" t="s">
        <v>617</v>
      </c>
      <c r="G62" s="43" t="str">
        <f>IF(COUNT(systemtable[[#This Row],[RFI Issued Date]:[PL Received
Date]])=3,"OK","")</f>
        <v/>
      </c>
      <c r="H62" s="44" t="str">
        <f>IF(systemtable[[#This Row],[REJECTED]]&gt;0,"Status5","status"&amp;COUNT(systemtable[[#This Row],[RFI Issued Date]:[PL Received
Date]])+1)</f>
        <v>status1</v>
      </c>
      <c r="I62" s="45"/>
      <c r="J62" s="45"/>
      <c r="K62" s="45"/>
      <c r="L62" s="46"/>
    </row>
    <row r="63" spans="1:12">
      <c r="A63" s="4" t="s">
        <v>462</v>
      </c>
      <c r="B63" s="35" t="s">
        <v>461</v>
      </c>
      <c r="C63" s="55">
        <f>systemtable[[#This Row],[MC Forecast date]]-7</f>
        <v>44382</v>
      </c>
      <c r="D63" s="51">
        <f>systemtable[[#This Row],[Commissioning Forecast Date]]-7</f>
        <v>44389</v>
      </c>
      <c r="E63" s="55">
        <v>44396</v>
      </c>
      <c r="F63" s="35" t="s">
        <v>617</v>
      </c>
      <c r="G63" s="43" t="str">
        <f>IF(COUNT(systemtable[[#This Row],[RFI Issued Date]:[PL Received
Date]])=3,"OK","")</f>
        <v/>
      </c>
      <c r="H63" s="44" t="str">
        <f>IF(systemtable[[#This Row],[REJECTED]]&gt;0,"Status5","status"&amp;COUNT(systemtable[[#This Row],[RFI Issued Date]:[PL Received
Date]])+1)</f>
        <v>status1</v>
      </c>
      <c r="I63" s="45"/>
      <c r="J63" s="45"/>
      <c r="K63" s="45"/>
      <c r="L63" s="46"/>
    </row>
    <row r="64" spans="1:12">
      <c r="A64" s="4" t="s">
        <v>469</v>
      </c>
      <c r="B64" s="41" t="s">
        <v>468</v>
      </c>
      <c r="C64" s="55">
        <f>systemtable[[#This Row],[MC Forecast date]]-7</f>
        <v>44382</v>
      </c>
      <c r="D64" s="51">
        <f>systemtable[[#This Row],[Commissioning Forecast Date]]-7</f>
        <v>44389</v>
      </c>
      <c r="E64" s="55">
        <v>44396</v>
      </c>
      <c r="F64" s="35" t="s">
        <v>617</v>
      </c>
      <c r="G64" s="43" t="str">
        <f>IF(COUNT(systemtable[[#This Row],[RFI Issued Date]:[PL Received
Date]])=3,"OK","")</f>
        <v/>
      </c>
      <c r="H64" s="44" t="str">
        <f>IF(systemtable[[#This Row],[REJECTED]]&gt;0,"Status5","status"&amp;COUNT(systemtable[[#This Row],[RFI Issued Date]:[PL Received
Date]])+1)</f>
        <v>status1</v>
      </c>
      <c r="I64" s="45"/>
      <c r="J64" s="45"/>
      <c r="K64" s="45"/>
      <c r="L64" s="46"/>
    </row>
    <row r="65" spans="1:12">
      <c r="A65" s="34" t="s">
        <v>644</v>
      </c>
      <c r="B65" s="35" t="s">
        <v>298</v>
      </c>
      <c r="C65" s="55">
        <f>systemtable[[#This Row],[MC Forecast date]]-7</f>
        <v>44382</v>
      </c>
      <c r="D65" s="51">
        <f>systemtable[[#This Row],[Commissioning Forecast Date]]-7</f>
        <v>44389</v>
      </c>
      <c r="E65" s="55">
        <v>44396</v>
      </c>
      <c r="F65" s="35" t="s">
        <v>617</v>
      </c>
      <c r="G65" s="43" t="str">
        <f>IF(COUNT(systemtable[[#This Row],[RFI Issued Date]:[PL Received
Date]])=3,"OK","")</f>
        <v/>
      </c>
      <c r="H65" s="44" t="str">
        <f>IF(systemtable[[#This Row],[REJECTED]]&gt;0,"Status5","status"&amp;COUNT(systemtable[[#This Row],[RFI Issued Date]:[PL Received
Date]])+1)</f>
        <v>status1</v>
      </c>
      <c r="I65" s="45"/>
      <c r="J65" s="45"/>
      <c r="K65" s="45"/>
      <c r="L65" s="46"/>
    </row>
    <row r="66" spans="1:12">
      <c r="A66" s="34" t="s">
        <v>643</v>
      </c>
      <c r="B66" s="41" t="s">
        <v>477</v>
      </c>
      <c r="C66" s="55">
        <f>systemtable[[#This Row],[MC Forecast date]]-7</f>
        <v>44382</v>
      </c>
      <c r="D66" s="51">
        <f>systemtable[[#This Row],[Commissioning Forecast Date]]-7</f>
        <v>44389</v>
      </c>
      <c r="E66" s="55">
        <v>44396</v>
      </c>
      <c r="F66" s="35" t="s">
        <v>617</v>
      </c>
      <c r="G66" s="43" t="str">
        <f>IF(COUNT(systemtable[[#This Row],[RFI Issued Date]:[PL Received
Date]])=3,"OK","")</f>
        <v/>
      </c>
      <c r="H66" s="44" t="str">
        <f>IF(systemtable[[#This Row],[REJECTED]]&gt;0,"Status5","status"&amp;COUNT(systemtable[[#This Row],[RFI Issued Date]:[PL Received
Date]])+1)</f>
        <v>status1</v>
      </c>
      <c r="I66" s="45"/>
      <c r="J66" s="45"/>
      <c r="K66" s="45"/>
      <c r="L66" s="46"/>
    </row>
    <row r="67" spans="1:12">
      <c r="A67" s="4" t="s">
        <v>467</v>
      </c>
      <c r="B67" s="41" t="s">
        <v>466</v>
      </c>
      <c r="C67" s="55">
        <f>systemtable[[#This Row],[MC Forecast date]]-7</f>
        <v>44396</v>
      </c>
      <c r="D67" s="51">
        <f>systemtable[[#This Row],[Commissioning Forecast Date]]-7</f>
        <v>44403</v>
      </c>
      <c r="E67" s="55">
        <v>44410</v>
      </c>
      <c r="F67" s="35" t="s">
        <v>609</v>
      </c>
      <c r="G67" s="43" t="str">
        <f>IF(COUNT(systemtable[[#This Row],[RFI Issued Date]:[PL Received
Date]])=3,"OK","")</f>
        <v/>
      </c>
      <c r="H67" s="44" t="str">
        <f>IF(systemtable[[#This Row],[REJECTED]]&gt;0,"Status5","status"&amp;COUNT(systemtable[[#This Row],[RFI Issued Date]:[PL Received
Date]])+1)</f>
        <v>status1</v>
      </c>
      <c r="I67" s="45"/>
      <c r="J67" s="45"/>
      <c r="K67" s="45"/>
      <c r="L67" s="46"/>
    </row>
    <row r="68" spans="1:12">
      <c r="A68" s="4" t="s">
        <v>377</v>
      </c>
      <c r="B68" s="35" t="s">
        <v>376</v>
      </c>
      <c r="C68" s="55">
        <f>systemtable[[#This Row],[MC Forecast date]]-7</f>
        <v>44396</v>
      </c>
      <c r="D68" s="51">
        <f>systemtable[[#This Row],[Commissioning Forecast Date]]-7</f>
        <v>44403</v>
      </c>
      <c r="E68" s="55">
        <v>44410</v>
      </c>
      <c r="F68" s="35" t="s">
        <v>611</v>
      </c>
      <c r="G68" s="43" t="str">
        <f>IF(COUNT(systemtable[[#This Row],[RFI Issued Date]:[PL Received
Date]])=3,"OK","")</f>
        <v/>
      </c>
      <c r="H68" s="44" t="str">
        <f>IF(systemtable[[#This Row],[REJECTED]]&gt;0,"Status5","status"&amp;COUNT(systemtable[[#This Row],[RFI Issued Date]:[PL Received
Date]])+1)</f>
        <v>status1</v>
      </c>
      <c r="I68" s="45"/>
      <c r="J68" s="45"/>
      <c r="K68" s="45"/>
      <c r="L68" s="46"/>
    </row>
    <row r="69" spans="1:12">
      <c r="A69" s="4" t="s">
        <v>389</v>
      </c>
      <c r="B69" s="41" t="s">
        <v>388</v>
      </c>
      <c r="C69" s="55">
        <f>systemtable[[#This Row],[MC Forecast date]]-7</f>
        <v>44396</v>
      </c>
      <c r="D69" s="51">
        <f>systemtable[[#This Row],[Commissioning Forecast Date]]-7</f>
        <v>44403</v>
      </c>
      <c r="E69" s="55">
        <v>44410</v>
      </c>
      <c r="F69" s="35" t="s">
        <v>611</v>
      </c>
      <c r="G69" s="43" t="str">
        <f>IF(COUNT(systemtable[[#This Row],[RFI Issued Date]:[PL Received
Date]])=3,"OK","")</f>
        <v/>
      </c>
      <c r="H69" s="44" t="str">
        <f>IF(systemtable[[#This Row],[REJECTED]]&gt;0,"Status5","status"&amp;COUNT(systemtable[[#This Row],[RFI Issued Date]:[PL Received
Date]])+1)</f>
        <v>status1</v>
      </c>
      <c r="I69" s="45"/>
      <c r="J69" s="45"/>
      <c r="K69" s="45"/>
      <c r="L69" s="46"/>
    </row>
    <row r="70" spans="1:12">
      <c r="A70" s="34" t="s">
        <v>194</v>
      </c>
      <c r="B70" s="59" t="s">
        <v>159</v>
      </c>
      <c r="C70" s="55">
        <f>systemtable[[#This Row],[MC Forecast date]]-7</f>
        <v>44396</v>
      </c>
      <c r="D70" s="51">
        <f>systemtable[[#This Row],[Commissioning Forecast Date]]-7</f>
        <v>44403</v>
      </c>
      <c r="E70" s="55">
        <v>44410</v>
      </c>
      <c r="F70" s="35" t="s">
        <v>582</v>
      </c>
      <c r="G70" s="43" t="str">
        <f>IF(COUNT(systemtable[[#This Row],[RFI Issued Date]:[PL Received
Date]])=3,"OK","")</f>
        <v/>
      </c>
      <c r="H70" s="44" t="str">
        <f>IF(systemtable[[#This Row],[REJECTED]]&gt;0,"Status5","status"&amp;COUNT(systemtable[[#This Row],[RFI Issued Date]:[PL Received
Date]])+1)</f>
        <v>status1</v>
      </c>
      <c r="I70" s="45"/>
      <c r="J70" s="45"/>
      <c r="K70" s="45"/>
      <c r="L70" s="46"/>
    </row>
    <row r="71" spans="1:12">
      <c r="A71" s="4" t="s">
        <v>369</v>
      </c>
      <c r="B71" s="35" t="s">
        <v>149</v>
      </c>
      <c r="C71" s="55">
        <f>systemtable[[#This Row],[MC Forecast date]]-7</f>
        <v>44396</v>
      </c>
      <c r="D71" s="51">
        <f>systemtable[[#This Row],[Commissioning Forecast Date]]-7</f>
        <v>44403</v>
      </c>
      <c r="E71" s="55">
        <v>44410</v>
      </c>
      <c r="F71" s="35" t="s">
        <v>609</v>
      </c>
      <c r="G71" s="43" t="str">
        <f>IF(COUNT(systemtable[[#This Row],[RFI Issued Date]:[PL Received
Date]])=3,"OK","")</f>
        <v/>
      </c>
      <c r="H71" s="44" t="str">
        <f>IF(systemtable[[#This Row],[REJECTED]]&gt;0,"Status5","status"&amp;COUNT(systemtable[[#This Row],[RFI Issued Date]:[PL Received
Date]])+1)</f>
        <v>status1</v>
      </c>
      <c r="I71" s="45"/>
      <c r="J71" s="45"/>
      <c r="K71" s="45"/>
      <c r="L71" s="46"/>
    </row>
    <row r="72" spans="1:12">
      <c r="A72" s="4" t="s">
        <v>411</v>
      </c>
      <c r="B72" s="59" t="s">
        <v>342</v>
      </c>
      <c r="C72" s="55">
        <f>systemtable[[#This Row],[MC Forecast date]]-7</f>
        <v>44403</v>
      </c>
      <c r="D72" s="51">
        <f>systemtable[[#This Row],[Commissioning Forecast Date]]-7</f>
        <v>44410</v>
      </c>
      <c r="E72" s="55">
        <v>44417</v>
      </c>
      <c r="F72" s="35" t="s">
        <v>613</v>
      </c>
      <c r="G72" s="43" t="str">
        <f>IF(COUNT(systemtable[[#This Row],[RFI Issued Date]:[PL Received
Date]])=3,"OK","")</f>
        <v/>
      </c>
      <c r="H72" s="44" t="str">
        <f>IF(systemtable[[#This Row],[REJECTED]]&gt;0,"Status5","status"&amp;COUNT(systemtable[[#This Row],[RFI Issued Date]:[PL Received
Date]])+1)</f>
        <v>status1</v>
      </c>
      <c r="I72" s="45"/>
      <c r="J72" s="45"/>
      <c r="K72" s="45"/>
      <c r="L72" s="46"/>
    </row>
    <row r="73" spans="1:12">
      <c r="A73" s="4" t="s">
        <v>414</v>
      </c>
      <c r="B73" s="35" t="s">
        <v>361</v>
      </c>
      <c r="C73" s="55">
        <f>systemtable[[#This Row],[MC Forecast date]]-7</f>
        <v>44403</v>
      </c>
      <c r="D73" s="51">
        <f>systemtable[[#This Row],[Commissioning Forecast Date]]-7</f>
        <v>44410</v>
      </c>
      <c r="E73" s="55">
        <v>44417</v>
      </c>
      <c r="F73" s="35" t="s">
        <v>613</v>
      </c>
      <c r="G73" s="43" t="str">
        <f>IF(COUNT(systemtable[[#This Row],[RFI Issued Date]:[PL Received
Date]])=3,"OK","")</f>
        <v/>
      </c>
      <c r="H73" s="44" t="str">
        <f>IF(systemtable[[#This Row],[REJECTED]]&gt;0,"Status5","status"&amp;COUNT(systemtable[[#This Row],[RFI Issued Date]:[PL Received
Date]])+1)</f>
        <v>status1</v>
      </c>
      <c r="I73" s="45"/>
      <c r="J73" s="45"/>
      <c r="K73" s="45"/>
      <c r="L73" s="46"/>
    </row>
    <row r="74" spans="1:12">
      <c r="A74" s="37" t="s">
        <v>413</v>
      </c>
      <c r="B74" s="35" t="s">
        <v>412</v>
      </c>
      <c r="C74" s="55">
        <f>systemtable[[#This Row],[MC Forecast date]]-7</f>
        <v>44403</v>
      </c>
      <c r="D74" s="51">
        <f>systemtable[[#This Row],[Commissioning Forecast Date]]-7</f>
        <v>44410</v>
      </c>
      <c r="E74" s="55">
        <v>44417</v>
      </c>
      <c r="F74" s="35" t="s">
        <v>613</v>
      </c>
      <c r="G74" s="43" t="str">
        <f>IF(COUNT(systemtable[[#This Row],[RFI Issued Date]:[PL Received
Date]])=3,"OK","")</f>
        <v/>
      </c>
      <c r="H74" s="44" t="str">
        <f>IF(systemtable[[#This Row],[REJECTED]]&gt;0,"Status5","status"&amp;COUNT(systemtable[[#This Row],[RFI Issued Date]:[PL Received
Date]])+1)</f>
        <v>status1</v>
      </c>
      <c r="I74" s="45"/>
      <c r="J74" s="45"/>
      <c r="K74" s="45"/>
      <c r="L74" s="46"/>
    </row>
    <row r="75" spans="1:12">
      <c r="A75" s="4" t="s">
        <v>446</v>
      </c>
      <c r="B75" s="58" t="s">
        <v>445</v>
      </c>
      <c r="C75" s="55">
        <f>systemtable[[#This Row],[MC Forecast date]]-7</f>
        <v>44403</v>
      </c>
      <c r="D75" s="51">
        <f>systemtable[[#This Row],[Commissioning Forecast Date]]-7</f>
        <v>44410</v>
      </c>
      <c r="E75" s="55">
        <v>44417</v>
      </c>
      <c r="F75" s="35" t="s">
        <v>616</v>
      </c>
      <c r="G75" s="43" t="str">
        <f>IF(COUNT(systemtable[[#This Row],[RFI Issued Date]:[PL Received
Date]])=3,"OK","")</f>
        <v/>
      </c>
      <c r="H75" s="44" t="str">
        <f>IF(systemtable[[#This Row],[REJECTED]]&gt;0,"Status5","status"&amp;COUNT(systemtable[[#This Row],[RFI Issued Date]:[PL Received
Date]])+1)</f>
        <v>status1</v>
      </c>
      <c r="I75" s="45"/>
      <c r="J75" s="45"/>
      <c r="K75" s="45"/>
      <c r="L75" s="46"/>
    </row>
    <row r="76" spans="1:12">
      <c r="A76" s="4" t="s">
        <v>448</v>
      </c>
      <c r="B76" s="59" t="s">
        <v>392</v>
      </c>
      <c r="C76" s="55">
        <f>systemtable[[#This Row],[MC Forecast date]]-7</f>
        <v>44403</v>
      </c>
      <c r="D76" s="51">
        <f>systemtable[[#This Row],[Commissioning Forecast Date]]-7</f>
        <v>44410</v>
      </c>
      <c r="E76" s="55">
        <v>44417</v>
      </c>
      <c r="F76" s="35" t="s">
        <v>616</v>
      </c>
      <c r="G76" s="43" t="str">
        <f>IF(COUNT(systemtable[[#This Row],[RFI Issued Date]:[PL Received
Date]])=3,"OK","")</f>
        <v/>
      </c>
      <c r="H76" s="44" t="str">
        <f>IF(systemtable[[#This Row],[REJECTED]]&gt;0,"Status5","status"&amp;COUNT(systemtable[[#This Row],[RFI Issued Date]:[PL Received
Date]])+1)</f>
        <v>status1</v>
      </c>
      <c r="I76" s="45"/>
      <c r="J76" s="45"/>
      <c r="K76" s="45"/>
      <c r="L76" s="46"/>
    </row>
    <row r="77" spans="1:12">
      <c r="A77" s="4" t="s">
        <v>214</v>
      </c>
      <c r="B77" s="35" t="s">
        <v>120</v>
      </c>
      <c r="C77" s="55">
        <f>systemtable[[#This Row],[MC Forecast date]]-7</f>
        <v>44409</v>
      </c>
      <c r="D77" s="51">
        <f>systemtable[[#This Row],[Commissioning Forecast Date]]-7</f>
        <v>44416</v>
      </c>
      <c r="E77" s="55">
        <v>44423</v>
      </c>
      <c r="F77" s="35" t="s">
        <v>582</v>
      </c>
      <c r="G77" s="43" t="str">
        <f>IF(COUNT(systemtable[[#This Row],[RFI Issued Date]:[PL Received
Date]])=3,"OK","")</f>
        <v/>
      </c>
      <c r="H77" s="44" t="str">
        <f>IF(systemtable[[#This Row],[REJECTED]]&gt;0,"Status5","status"&amp;COUNT(systemtable[[#This Row],[RFI Issued Date]:[PL Received
Date]])+1)</f>
        <v>status1</v>
      </c>
      <c r="I77" s="45"/>
      <c r="J77" s="45"/>
      <c r="K77" s="45"/>
      <c r="L77" s="46"/>
    </row>
    <row r="78" spans="1:12">
      <c r="A78" s="4" t="s">
        <v>215</v>
      </c>
      <c r="B78" s="35" t="s">
        <v>122</v>
      </c>
      <c r="C78" s="55">
        <f>systemtable[[#This Row],[MC Forecast date]]-7</f>
        <v>44409</v>
      </c>
      <c r="D78" s="51">
        <f>systemtable[[#This Row],[Commissioning Forecast Date]]-7</f>
        <v>44416</v>
      </c>
      <c r="E78" s="55">
        <v>44423</v>
      </c>
      <c r="F78" s="35" t="s">
        <v>582</v>
      </c>
      <c r="G78" s="43" t="str">
        <f>IF(COUNT(systemtable[[#This Row],[RFI Issued Date]:[PL Received
Date]])=3,"OK","")</f>
        <v/>
      </c>
      <c r="H78" s="44" t="str">
        <f>IF(systemtable[[#This Row],[REJECTED]]&gt;0,"Status5","status"&amp;COUNT(systemtable[[#This Row],[RFI Issued Date]:[PL Received
Date]])+1)</f>
        <v>status1</v>
      </c>
      <c r="I78" s="45"/>
      <c r="J78" s="45"/>
      <c r="K78" s="45"/>
      <c r="L78" s="46"/>
    </row>
    <row r="79" spans="1:12">
      <c r="A79" s="4" t="s">
        <v>419</v>
      </c>
      <c r="B79" s="35" t="s">
        <v>370</v>
      </c>
      <c r="C79" s="55">
        <f>systemtable[[#This Row],[MC Forecast date]]-7</f>
        <v>44410</v>
      </c>
      <c r="D79" s="51">
        <f>systemtable[[#This Row],[Commissioning Forecast Date]]-7</f>
        <v>44417</v>
      </c>
      <c r="E79" s="55">
        <v>44424</v>
      </c>
      <c r="F79" s="35" t="s">
        <v>614</v>
      </c>
      <c r="G79" s="43" t="str">
        <f>IF(COUNT(systemtable[[#This Row],[RFI Issued Date]:[PL Received
Date]])=3,"OK","")</f>
        <v/>
      </c>
      <c r="H79" s="44" t="str">
        <f>IF(systemtable[[#This Row],[REJECTED]]&gt;0,"Status5","status"&amp;COUNT(systemtable[[#This Row],[RFI Issued Date]:[PL Received
Date]])+1)</f>
        <v>status1</v>
      </c>
      <c r="I79" s="45"/>
      <c r="J79" s="45"/>
      <c r="K79" s="45"/>
      <c r="L79" s="46"/>
    </row>
    <row r="80" spans="1:12">
      <c r="A80" s="4" t="s">
        <v>422</v>
      </c>
      <c r="B80" s="35" t="s">
        <v>421</v>
      </c>
      <c r="C80" s="55">
        <f>systemtable[[#This Row],[MC Forecast date]]-7</f>
        <v>44410</v>
      </c>
      <c r="D80" s="51">
        <f>systemtable[[#This Row],[Commissioning Forecast Date]]-7</f>
        <v>44417</v>
      </c>
      <c r="E80" s="55">
        <v>44424</v>
      </c>
      <c r="F80" s="35" t="s">
        <v>614</v>
      </c>
      <c r="G80" s="43" t="str">
        <f>IF(COUNT(systemtable[[#This Row],[RFI Issued Date]:[PL Received
Date]])=3,"OK","")</f>
        <v/>
      </c>
      <c r="H80" s="44" t="str">
        <f>IF(systemtable[[#This Row],[REJECTED]]&gt;0,"Status5","status"&amp;COUNT(systemtable[[#This Row],[RFI Issued Date]:[PL Received
Date]])+1)</f>
        <v>status1</v>
      </c>
      <c r="I80" s="45"/>
      <c r="J80" s="45"/>
      <c r="K80" s="45"/>
      <c r="L80" s="46"/>
    </row>
    <row r="81" spans="1:12">
      <c r="A81" s="4" t="s">
        <v>417</v>
      </c>
      <c r="B81" s="35" t="s">
        <v>371</v>
      </c>
      <c r="C81" s="55">
        <f>systemtable[[#This Row],[MC Forecast date]]-7</f>
        <v>44410</v>
      </c>
      <c r="D81" s="51">
        <f>systemtable[[#This Row],[Commissioning Forecast Date]]-7</f>
        <v>44417</v>
      </c>
      <c r="E81" s="55">
        <v>44424</v>
      </c>
      <c r="F81" s="35" t="s">
        <v>614</v>
      </c>
      <c r="G81" s="43" t="str">
        <f>IF(COUNT(systemtable[[#This Row],[RFI Issued Date]:[PL Received
Date]])=3,"OK","")</f>
        <v/>
      </c>
      <c r="H81" s="44" t="str">
        <f>IF(systemtable[[#This Row],[REJECTED]]&gt;0,"Status5","status"&amp;COUNT(systemtable[[#This Row],[RFI Issued Date]:[PL Received
Date]])+1)</f>
        <v>status1</v>
      </c>
      <c r="I81" s="45"/>
      <c r="J81" s="45"/>
      <c r="K81" s="45"/>
      <c r="L81" s="46"/>
    </row>
    <row r="82" spans="1:12">
      <c r="A82" s="4" t="s">
        <v>334</v>
      </c>
      <c r="B82" s="58" t="s">
        <v>202</v>
      </c>
      <c r="C82" s="55">
        <f>systemtable[[#This Row],[MC Forecast date]]-7</f>
        <v>44410</v>
      </c>
      <c r="D82" s="51">
        <f>systemtable[[#This Row],[Commissioning Forecast Date]]-7</f>
        <v>44417</v>
      </c>
      <c r="E82" s="55">
        <v>44424</v>
      </c>
      <c r="F82" s="35" t="s">
        <v>605</v>
      </c>
      <c r="G82" s="43" t="str">
        <f>IF(COUNT(systemtable[[#This Row],[RFI Issued Date]:[PL Received
Date]])=3,"OK","")</f>
        <v/>
      </c>
      <c r="H82" s="44" t="str">
        <f>IF(systemtable[[#This Row],[REJECTED]]&gt;0,"Status5","status"&amp;COUNT(systemtable[[#This Row],[RFI Issued Date]:[PL Received
Date]])+1)</f>
        <v>status1</v>
      </c>
      <c r="I82" s="45"/>
      <c r="J82" s="45"/>
      <c r="K82" s="45"/>
      <c r="L82" s="46"/>
    </row>
    <row r="83" spans="1:12">
      <c r="A83" s="4" t="s">
        <v>335</v>
      </c>
      <c r="B83" s="58" t="s">
        <v>206</v>
      </c>
      <c r="C83" s="55">
        <f>systemtable[[#This Row],[MC Forecast date]]-7</f>
        <v>44410</v>
      </c>
      <c r="D83" s="51">
        <f>systemtable[[#This Row],[Commissioning Forecast Date]]-7</f>
        <v>44417</v>
      </c>
      <c r="E83" s="55">
        <v>44424</v>
      </c>
      <c r="F83" s="35" t="s">
        <v>605</v>
      </c>
      <c r="G83" s="43" t="str">
        <f>IF(COUNT(systemtable[[#This Row],[RFI Issued Date]:[PL Received
Date]])=3,"OK","")</f>
        <v/>
      </c>
      <c r="H83" s="44" t="str">
        <f>IF(systemtable[[#This Row],[REJECTED]]&gt;0,"Status5","status"&amp;COUNT(systemtable[[#This Row],[RFI Issued Date]:[PL Received
Date]])+1)</f>
        <v>status1</v>
      </c>
      <c r="I83" s="45"/>
      <c r="J83" s="45"/>
      <c r="K83" s="45"/>
      <c r="L83" s="46"/>
    </row>
    <row r="84" spans="1:12">
      <c r="A84" s="4" t="s">
        <v>312</v>
      </c>
      <c r="B84" s="58" t="s">
        <v>213</v>
      </c>
      <c r="C84" s="55">
        <f>systemtable[[#This Row],[MC Forecast date]]-7</f>
        <v>44410</v>
      </c>
      <c r="D84" s="51">
        <f>systemtable[[#This Row],[Commissioning Forecast Date]]-7</f>
        <v>44417</v>
      </c>
      <c r="E84" s="55">
        <v>44424</v>
      </c>
      <c r="F84" s="35" t="s">
        <v>595</v>
      </c>
      <c r="G84" s="43" t="str">
        <f>IF(COUNT(systemtable[[#This Row],[RFI Issued Date]:[PL Received
Date]])=3,"OK","")</f>
        <v/>
      </c>
      <c r="H84" s="44" t="str">
        <f>IF(systemtable[[#This Row],[REJECTED]]&gt;0,"Status5","status"&amp;COUNT(systemtable[[#This Row],[RFI Issued Date]:[PL Received
Date]])+1)</f>
        <v>status1</v>
      </c>
      <c r="I84" s="45"/>
      <c r="J84" s="45"/>
      <c r="K84" s="45"/>
      <c r="L84" s="46"/>
    </row>
    <row r="85" spans="1:12">
      <c r="A85" s="4" t="s">
        <v>336</v>
      </c>
      <c r="B85" s="61" t="s">
        <v>208</v>
      </c>
      <c r="C85" s="55">
        <f>systemtable[[#This Row],[MC Forecast date]]-7</f>
        <v>44410</v>
      </c>
      <c r="D85" s="51">
        <f>systemtable[[#This Row],[Commissioning Forecast Date]]-7</f>
        <v>44417</v>
      </c>
      <c r="E85" s="55">
        <v>44424</v>
      </c>
      <c r="F85" s="35" t="s">
        <v>605</v>
      </c>
      <c r="G85" s="43" t="str">
        <f>IF(COUNT(systemtable[[#This Row],[RFI Issued Date]:[PL Received
Date]])=3,"OK","")</f>
        <v/>
      </c>
      <c r="H85" s="44" t="str">
        <f>IF(systemtable[[#This Row],[REJECTED]]&gt;0,"Status5","status"&amp;COUNT(systemtable[[#This Row],[RFI Issued Date]:[PL Received
Date]])+1)</f>
        <v>status1</v>
      </c>
      <c r="I85" s="45"/>
      <c r="J85" s="45"/>
      <c r="K85" s="45"/>
      <c r="L85" s="46"/>
    </row>
    <row r="86" spans="1:12">
      <c r="A86" s="4" t="s">
        <v>337</v>
      </c>
      <c r="B86" s="61" t="s">
        <v>210</v>
      </c>
      <c r="C86" s="55">
        <f>systemtable[[#This Row],[MC Forecast date]]-7</f>
        <v>44410</v>
      </c>
      <c r="D86" s="51">
        <f>systemtable[[#This Row],[Commissioning Forecast Date]]-7</f>
        <v>44417</v>
      </c>
      <c r="E86" s="55">
        <v>44424</v>
      </c>
      <c r="F86" s="35" t="s">
        <v>605</v>
      </c>
      <c r="G86" s="43" t="str">
        <f>IF(COUNT(systemtable[[#This Row],[RFI Issued Date]:[PL Received
Date]])=3,"OK","")</f>
        <v/>
      </c>
      <c r="H86" s="44" t="str">
        <f>IF(systemtable[[#This Row],[REJECTED]]&gt;0,"Status5","status"&amp;COUNT(systemtable[[#This Row],[RFI Issued Date]:[PL Received
Date]])+1)</f>
        <v>status1</v>
      </c>
      <c r="I86" s="45"/>
      <c r="J86" s="45"/>
      <c r="K86" s="45"/>
      <c r="L86" s="46"/>
    </row>
    <row r="87" spans="1:12">
      <c r="A87" s="4" t="s">
        <v>310</v>
      </c>
      <c r="B87" s="35" t="s">
        <v>662</v>
      </c>
      <c r="C87" s="55">
        <f>systemtable[[#This Row],[MC Forecast date]]-7</f>
        <v>44410</v>
      </c>
      <c r="D87" s="51">
        <f>systemtable[[#This Row],[Commissioning Forecast Date]]-7</f>
        <v>44417</v>
      </c>
      <c r="E87" s="55">
        <v>44424</v>
      </c>
      <c r="F87" s="35" t="s">
        <v>594</v>
      </c>
      <c r="G87" s="43" t="str">
        <f>IF(COUNT(systemtable[[#This Row],[RFI Issued Date]:[PL Received
Date]])=3,"OK","")</f>
        <v/>
      </c>
      <c r="H87" s="44" t="str">
        <f>IF(systemtable[[#This Row],[REJECTED]]&gt;0,"Status5","status"&amp;COUNT(systemtable[[#This Row],[RFI Issued Date]:[PL Received
Date]])+1)</f>
        <v>status1</v>
      </c>
      <c r="I87" s="45"/>
      <c r="J87" s="45"/>
      <c r="K87" s="45"/>
      <c r="L87" s="46"/>
    </row>
    <row r="88" spans="1:12">
      <c r="A88" s="4" t="s">
        <v>660</v>
      </c>
      <c r="B88" s="35" t="s">
        <v>661</v>
      </c>
      <c r="C88" s="55">
        <f>systemtable[[#This Row],[MC Forecast date]]-7</f>
        <v>44410</v>
      </c>
      <c r="D88" s="51">
        <f>systemtable[[#This Row],[Commissioning Forecast Date]]-7</f>
        <v>44417</v>
      </c>
      <c r="E88" s="55">
        <v>44424</v>
      </c>
      <c r="F88" s="35" t="s">
        <v>594</v>
      </c>
      <c r="G88" s="43" t="str">
        <f>IF(COUNT(systemtable[[#This Row],[RFI Issued Date]:[PL Received
Date]])=3,"OK","")</f>
        <v/>
      </c>
      <c r="H88" s="44" t="str">
        <f>IF(systemtable[[#This Row],[REJECTED]]&gt;0,"Status5","status"&amp;COUNT(systemtable[[#This Row],[RFI Issued Date]:[PL Received
Date]])+1)</f>
        <v>status1</v>
      </c>
      <c r="I88" s="45"/>
      <c r="J88" s="45"/>
      <c r="K88" s="45"/>
      <c r="L88" s="46"/>
    </row>
    <row r="89" spans="1:12">
      <c r="A89" s="4" t="s">
        <v>313</v>
      </c>
      <c r="B89" s="58" t="s">
        <v>216</v>
      </c>
      <c r="C89" s="55">
        <f>systemtable[[#This Row],[MC Forecast date]]-7</f>
        <v>44417</v>
      </c>
      <c r="D89" s="51">
        <f>systemtable[[#This Row],[Commissioning Forecast Date]]-7</f>
        <v>44424</v>
      </c>
      <c r="E89" s="55">
        <v>44431</v>
      </c>
      <c r="F89" s="35" t="s">
        <v>596</v>
      </c>
      <c r="G89" s="43" t="str">
        <f>IF(COUNT(systemtable[[#This Row],[RFI Issued Date]:[PL Received
Date]])=3,"OK","")</f>
        <v/>
      </c>
      <c r="H89" s="44" t="str">
        <f>IF(systemtable[[#This Row],[REJECTED]]&gt;0,"Status5","status"&amp;COUNT(systemtable[[#This Row],[RFI Issued Date]:[PL Received
Date]])+1)</f>
        <v>status1</v>
      </c>
      <c r="I89" s="45"/>
      <c r="J89" s="45"/>
      <c r="K89" s="45"/>
      <c r="L89" s="46"/>
    </row>
    <row r="90" spans="1:12">
      <c r="A90" s="4" t="s">
        <v>316</v>
      </c>
      <c r="B90" s="58" t="s">
        <v>218</v>
      </c>
      <c r="C90" s="55">
        <f>systemtable[[#This Row],[MC Forecast date]]-7</f>
        <v>44417</v>
      </c>
      <c r="D90" s="51">
        <f>systemtable[[#This Row],[Commissioning Forecast Date]]-7</f>
        <v>44424</v>
      </c>
      <c r="E90" s="55">
        <v>44431</v>
      </c>
      <c r="F90" s="35" t="s">
        <v>597</v>
      </c>
      <c r="G90" s="43" t="str">
        <f>IF(COUNT(systemtable[[#This Row],[RFI Issued Date]:[PL Received
Date]])=3,"OK","")</f>
        <v/>
      </c>
      <c r="H90" s="44" t="str">
        <f>IF(systemtable[[#This Row],[REJECTED]]&gt;0,"Status5","status"&amp;COUNT(systemtable[[#This Row],[RFI Issued Date]:[PL Received
Date]])+1)</f>
        <v>status1</v>
      </c>
      <c r="I90" s="45"/>
      <c r="J90" s="45"/>
      <c r="K90" s="45"/>
      <c r="L90" s="46"/>
    </row>
    <row r="91" spans="1:12">
      <c r="A91" s="4" t="s">
        <v>317</v>
      </c>
      <c r="B91" s="58" t="s">
        <v>220</v>
      </c>
      <c r="C91" s="55">
        <f>systemtable[[#This Row],[MC Forecast date]]-7</f>
        <v>44417</v>
      </c>
      <c r="D91" s="51">
        <f>systemtable[[#This Row],[Commissioning Forecast Date]]-7</f>
        <v>44424</v>
      </c>
      <c r="E91" s="55">
        <v>44431</v>
      </c>
      <c r="F91" s="35" t="s">
        <v>597</v>
      </c>
      <c r="G91" s="43" t="str">
        <f>IF(COUNT(systemtable[[#This Row],[RFI Issued Date]:[PL Received
Date]])=3,"OK","")</f>
        <v/>
      </c>
      <c r="H91" s="44" t="str">
        <f>IF(systemtable[[#This Row],[REJECTED]]&gt;0,"Status5","status"&amp;COUNT(systemtable[[#This Row],[RFI Issued Date]:[PL Received
Date]])+1)</f>
        <v>status1</v>
      </c>
      <c r="I91" s="45"/>
      <c r="J91" s="45"/>
      <c r="K91" s="45"/>
      <c r="L91" s="46"/>
    </row>
    <row r="92" spans="1:12">
      <c r="A92" s="34" t="s">
        <v>315</v>
      </c>
      <c r="B92" s="35" t="s">
        <v>314</v>
      </c>
      <c r="C92" s="55">
        <f>systemtable[[#This Row],[MC Forecast date]]-7</f>
        <v>44417</v>
      </c>
      <c r="D92" s="51">
        <f>systemtable[[#This Row],[Commissioning Forecast Date]]-7</f>
        <v>44424</v>
      </c>
      <c r="E92" s="55">
        <v>44431</v>
      </c>
      <c r="F92" s="35" t="s">
        <v>596</v>
      </c>
      <c r="G92" s="43" t="str">
        <f>IF(COUNT(systemtable[[#This Row],[RFI Issued Date]:[PL Received
Date]])=3,"OK","")</f>
        <v/>
      </c>
      <c r="H92" s="44" t="str">
        <f>IF(systemtable[[#This Row],[REJECTED]]&gt;0,"Status5","status"&amp;COUNT(systemtable[[#This Row],[RFI Issued Date]:[PL Received
Date]])+1)</f>
        <v>status1</v>
      </c>
      <c r="I92" s="45"/>
      <c r="J92" s="45"/>
      <c r="K92" s="45"/>
      <c r="L92" s="46"/>
    </row>
    <row r="93" spans="1:12">
      <c r="A93" s="4" t="s">
        <v>318</v>
      </c>
      <c r="B93" s="58" t="s">
        <v>222</v>
      </c>
      <c r="C93" s="55">
        <f>systemtable[[#This Row],[MC Forecast date]]-7</f>
        <v>44424</v>
      </c>
      <c r="D93" s="51">
        <f>systemtable[[#This Row],[Commissioning Forecast Date]]-7</f>
        <v>44431</v>
      </c>
      <c r="E93" s="55">
        <v>44438</v>
      </c>
      <c r="F93" s="35" t="s">
        <v>598</v>
      </c>
      <c r="G93" s="43" t="str">
        <f>IF(COUNT(systemtable[[#This Row],[RFI Issued Date]:[PL Received
Date]])=3,"OK","")</f>
        <v/>
      </c>
      <c r="H93" s="44" t="str">
        <f>IF(systemtable[[#This Row],[REJECTED]]&gt;0,"Status5","status"&amp;COUNT(systemtable[[#This Row],[RFI Issued Date]:[PL Received
Date]])+1)</f>
        <v>status1</v>
      </c>
      <c r="I93" s="45"/>
      <c r="J93" s="45"/>
      <c r="K93" s="45"/>
      <c r="L93" s="46"/>
    </row>
    <row r="94" spans="1:12">
      <c r="A94" s="4" t="s">
        <v>320</v>
      </c>
      <c r="B94" s="58" t="s">
        <v>224</v>
      </c>
      <c r="C94" s="55">
        <f>systemtable[[#This Row],[MC Forecast date]]-7</f>
        <v>44424</v>
      </c>
      <c r="D94" s="51">
        <f>systemtable[[#This Row],[Commissioning Forecast Date]]-7</f>
        <v>44431</v>
      </c>
      <c r="E94" s="55">
        <v>44438</v>
      </c>
      <c r="F94" s="35" t="s">
        <v>599</v>
      </c>
      <c r="G94" s="43" t="str">
        <f>IF(COUNT(systemtable[[#This Row],[RFI Issued Date]:[PL Received
Date]])=3,"OK","")</f>
        <v/>
      </c>
      <c r="H94" s="44" t="str">
        <f>IF(systemtable[[#This Row],[REJECTED]]&gt;0,"Status5","status"&amp;COUNT(systemtable[[#This Row],[RFI Issued Date]:[PL Received
Date]])+1)</f>
        <v>status1</v>
      </c>
      <c r="I94" s="45"/>
      <c r="J94" s="45"/>
      <c r="K94" s="45"/>
      <c r="L94" s="46"/>
    </row>
    <row r="95" spans="1:12">
      <c r="A95" s="4" t="s">
        <v>659</v>
      </c>
      <c r="B95" s="58" t="s">
        <v>275</v>
      </c>
      <c r="C95" s="55">
        <f>systemtable[[#This Row],[MC Forecast date]]-7</f>
        <v>44424</v>
      </c>
      <c r="D95" s="51">
        <f>systemtable[[#This Row],[Commissioning Forecast Date]]-7</f>
        <v>44431</v>
      </c>
      <c r="E95" s="55">
        <v>44438</v>
      </c>
      <c r="F95" s="35" t="s">
        <v>598</v>
      </c>
      <c r="G95" s="43" t="str">
        <f>IF(COUNT(systemtable[[#This Row],[RFI Issued Date]:[PL Received
Date]])=3,"OK","")</f>
        <v/>
      </c>
      <c r="H95" s="44" t="str">
        <f>IF(systemtable[[#This Row],[REJECTED]]&gt;0,"Status5","status"&amp;COUNT(systemtable[[#This Row],[RFI Issued Date]:[PL Received
Date]])+1)</f>
        <v>status1</v>
      </c>
      <c r="I95" s="45"/>
      <c r="J95" s="45"/>
      <c r="K95" s="45"/>
      <c r="L95" s="46"/>
    </row>
    <row r="96" spans="1:12">
      <c r="A96" s="4" t="s">
        <v>339</v>
      </c>
      <c r="B96" s="35" t="s">
        <v>338</v>
      </c>
      <c r="C96" s="55">
        <f>systemtable[[#This Row],[MC Forecast date]]-7</f>
        <v>44431</v>
      </c>
      <c r="D96" s="51">
        <f>systemtable[[#This Row],[Commissioning Forecast Date]]-7</f>
        <v>44438</v>
      </c>
      <c r="E96" s="55">
        <v>44445</v>
      </c>
      <c r="F96" s="35" t="s">
        <v>606</v>
      </c>
      <c r="G96" s="43" t="str">
        <f>IF(COUNT(systemtable[[#This Row],[RFI Issued Date]:[PL Received
Date]])=3,"OK","")</f>
        <v/>
      </c>
      <c r="H96" s="44" t="str">
        <f>IF(systemtable[[#This Row],[REJECTED]]&gt;0,"Status5","status"&amp;COUNT(systemtable[[#This Row],[RFI Issued Date]:[PL Received
Date]])+1)</f>
        <v>status1</v>
      </c>
      <c r="I96" s="45"/>
      <c r="J96" s="45"/>
      <c r="K96" s="45"/>
      <c r="L96" s="46"/>
    </row>
    <row r="97" spans="1:12">
      <c r="A97" s="4" t="s">
        <v>278</v>
      </c>
      <c r="B97" s="41" t="s">
        <v>229</v>
      </c>
      <c r="C97" s="55">
        <f>systemtable[[#This Row],[MC Forecast date]]-7</f>
        <v>44431</v>
      </c>
      <c r="D97" s="51">
        <f>systemtable[[#This Row],[Commissioning Forecast Date]]-7</f>
        <v>44438</v>
      </c>
      <c r="E97" s="55">
        <v>44445</v>
      </c>
      <c r="F97" s="35" t="s">
        <v>589</v>
      </c>
      <c r="G97" s="43" t="str">
        <f>IF(COUNT(systemtable[[#This Row],[RFI Issued Date]:[PL Received
Date]])=3,"OK","")</f>
        <v/>
      </c>
      <c r="H97" s="44" t="str">
        <f>IF(systemtable[[#This Row],[REJECTED]]&gt;0,"Status5","status"&amp;COUNT(systemtable[[#This Row],[RFI Issued Date]:[PL Received
Date]])+1)</f>
        <v>status1</v>
      </c>
      <c r="I97" s="45"/>
      <c r="J97" s="45"/>
      <c r="K97" s="45"/>
      <c r="L97" s="46"/>
    </row>
    <row r="98" spans="1:12">
      <c r="A98" s="4" t="s">
        <v>274</v>
      </c>
      <c r="B98" s="35" t="s">
        <v>638</v>
      </c>
      <c r="C98" s="55">
        <f>systemtable[[#This Row],[MC Forecast date]]-7</f>
        <v>44431</v>
      </c>
      <c r="D98" s="51">
        <f>systemtable[[#This Row],[Commissioning Forecast Date]]-7</f>
        <v>44438</v>
      </c>
      <c r="E98" s="55">
        <v>44445</v>
      </c>
      <c r="F98" s="35" t="s">
        <v>589</v>
      </c>
      <c r="G98" s="43" t="str">
        <f>IF(COUNT(systemtable[[#This Row],[RFI Issued Date]:[PL Received
Date]])=3,"OK","")</f>
        <v/>
      </c>
      <c r="H98" s="44" t="str">
        <f>IF(systemtable[[#This Row],[REJECTED]]&gt;0,"Status5","status"&amp;COUNT(systemtable[[#This Row],[RFI Issued Date]:[PL Received
Date]])+1)</f>
        <v>status1</v>
      </c>
      <c r="I98" s="45"/>
      <c r="J98" s="45"/>
      <c r="K98" s="45"/>
      <c r="L98" s="46"/>
    </row>
    <row r="99" spans="1:12">
      <c r="A99" s="4" t="s">
        <v>280</v>
      </c>
      <c r="B99" s="41" t="s">
        <v>231</v>
      </c>
      <c r="C99" s="55">
        <f>systemtable[[#This Row],[MC Forecast date]]-7</f>
        <v>44431</v>
      </c>
      <c r="D99" s="51">
        <f>systemtable[[#This Row],[Commissioning Forecast Date]]-7</f>
        <v>44438</v>
      </c>
      <c r="E99" s="55">
        <v>44445</v>
      </c>
      <c r="F99" s="35" t="s">
        <v>589</v>
      </c>
      <c r="G99" s="43" t="str">
        <f>IF(COUNT(systemtable[[#This Row],[RFI Issued Date]:[PL Received
Date]])=3,"OK","")</f>
        <v/>
      </c>
      <c r="H99" s="44" t="str">
        <f>IF(systemtable[[#This Row],[REJECTED]]&gt;0,"Status5","status"&amp;COUNT(systemtable[[#This Row],[RFI Issued Date]:[PL Received
Date]])+1)</f>
        <v>status1</v>
      </c>
      <c r="I99" s="45"/>
      <c r="J99" s="45"/>
      <c r="K99" s="45"/>
      <c r="L99" s="46"/>
    </row>
    <row r="100" spans="1:12">
      <c r="A100" s="4" t="s">
        <v>268</v>
      </c>
      <c r="B100" s="35" t="s">
        <v>233</v>
      </c>
      <c r="C100" s="55">
        <f>systemtable[[#This Row],[MC Forecast date]]-7</f>
        <v>44431</v>
      </c>
      <c r="D100" s="51">
        <f>systemtable[[#This Row],[Commissioning Forecast Date]]-7</f>
        <v>44438</v>
      </c>
      <c r="E100" s="55">
        <v>44445</v>
      </c>
      <c r="F100" s="35" t="s">
        <v>589</v>
      </c>
      <c r="G100" s="43" t="str">
        <f>IF(COUNT(systemtable[[#This Row],[RFI Issued Date]:[PL Received
Date]])=3,"OK","")</f>
        <v/>
      </c>
      <c r="H100" s="44" t="str">
        <f>IF(systemtable[[#This Row],[REJECTED]]&gt;0,"Status5","status"&amp;COUNT(systemtable[[#This Row],[RFI Issued Date]:[PL Received
Date]])+1)</f>
        <v>status1</v>
      </c>
      <c r="I100" s="45"/>
      <c r="J100" s="45"/>
      <c r="K100" s="45"/>
      <c r="L100" s="46"/>
    </row>
    <row r="101" spans="1:12">
      <c r="A101" s="4" t="s">
        <v>270</v>
      </c>
      <c r="B101" s="35" t="s">
        <v>637</v>
      </c>
      <c r="C101" s="55">
        <f>systemtable[[#This Row],[MC Forecast date]]-7</f>
        <v>44431</v>
      </c>
      <c r="D101" s="51">
        <f>systemtable[[#This Row],[Commissioning Forecast Date]]-7</f>
        <v>44438</v>
      </c>
      <c r="E101" s="55">
        <v>44445</v>
      </c>
      <c r="F101" s="35" t="s">
        <v>589</v>
      </c>
      <c r="G101" s="43" t="str">
        <f>IF(COUNT(systemtable[[#This Row],[RFI Issued Date]:[PL Received
Date]])=3,"OK","")</f>
        <v/>
      </c>
      <c r="H101" s="44" t="str">
        <f>IF(systemtable[[#This Row],[REJECTED]]&gt;0,"Status5","status"&amp;COUNT(systemtable[[#This Row],[RFI Issued Date]:[PL Received
Date]])+1)</f>
        <v>status1</v>
      </c>
      <c r="I101" s="45"/>
      <c r="J101" s="45"/>
      <c r="K101" s="45"/>
      <c r="L101" s="46"/>
    </row>
    <row r="102" spans="1:12">
      <c r="A102" s="4" t="s">
        <v>272</v>
      </c>
      <c r="B102" s="35" t="s">
        <v>235</v>
      </c>
      <c r="C102" s="55">
        <f>systemtable[[#This Row],[MC Forecast date]]-7</f>
        <v>44431</v>
      </c>
      <c r="D102" s="51">
        <f>systemtable[[#This Row],[Commissioning Forecast Date]]-7</f>
        <v>44438</v>
      </c>
      <c r="E102" s="55">
        <v>44445</v>
      </c>
      <c r="F102" s="35" t="s">
        <v>589</v>
      </c>
      <c r="G102" s="43" t="str">
        <f>IF(COUNT(systemtable[[#This Row],[RFI Issued Date]:[PL Received
Date]])=3,"OK","")</f>
        <v/>
      </c>
      <c r="H102" s="44" t="str">
        <f>IF(systemtable[[#This Row],[REJECTED]]&gt;0,"Status5","status"&amp;COUNT(systemtable[[#This Row],[RFI Issued Date]:[PL Received
Date]])+1)</f>
        <v>status1</v>
      </c>
      <c r="I102" s="45"/>
      <c r="J102" s="45"/>
      <c r="K102" s="45"/>
      <c r="L102" s="46"/>
    </row>
    <row r="103" spans="1:12">
      <c r="A103" s="4" t="s">
        <v>277</v>
      </c>
      <c r="B103" s="62" t="s">
        <v>276</v>
      </c>
      <c r="C103" s="55">
        <f>systemtable[[#This Row],[MC Forecast date]]-7</f>
        <v>44431</v>
      </c>
      <c r="D103" s="51">
        <f>systemtable[[#This Row],[Commissioning Forecast Date]]-7</f>
        <v>44438</v>
      </c>
      <c r="E103" s="55">
        <v>44445</v>
      </c>
      <c r="F103" s="35" t="s">
        <v>589</v>
      </c>
      <c r="G103" s="43" t="str">
        <f>IF(COUNT(systemtable[[#This Row],[RFI Issued Date]:[PL Received
Date]])=3,"OK","")</f>
        <v/>
      </c>
      <c r="H103" s="44" t="str">
        <f>IF(systemtable[[#This Row],[REJECTED]]&gt;0,"Status5","status"&amp;COUNT(systemtable[[#This Row],[RFI Issued Date]:[PL Received
Date]])+1)</f>
        <v>status1</v>
      </c>
      <c r="I103" s="45"/>
      <c r="J103" s="45"/>
      <c r="K103" s="45"/>
      <c r="L103" s="46"/>
    </row>
    <row r="104" spans="1:12">
      <c r="A104" s="4" t="s">
        <v>284</v>
      </c>
      <c r="B104" s="58" t="s">
        <v>240</v>
      </c>
      <c r="C104" s="55">
        <f>systemtable[[#This Row],[MC Forecast date]]-7</f>
        <v>44431</v>
      </c>
      <c r="D104" s="51">
        <f>systemtable[[#This Row],[Commissioning Forecast Date]]-7</f>
        <v>44438</v>
      </c>
      <c r="E104" s="55">
        <v>44445</v>
      </c>
      <c r="F104" s="35" t="s">
        <v>590</v>
      </c>
      <c r="G104" s="43" t="str">
        <f>IF(COUNT(systemtable[[#This Row],[RFI Issued Date]:[PL Received
Date]])=3,"OK","")</f>
        <v/>
      </c>
      <c r="H104" s="44" t="str">
        <f>IF(systemtable[[#This Row],[REJECTED]]&gt;0,"Status5","status"&amp;COUNT(systemtable[[#This Row],[RFI Issued Date]:[PL Received
Date]])+1)</f>
        <v>status1</v>
      </c>
      <c r="I104" s="45"/>
      <c r="J104" s="45"/>
      <c r="K104" s="45"/>
      <c r="L104" s="46"/>
    </row>
    <row r="105" spans="1:12">
      <c r="A105" s="30" t="s">
        <v>282</v>
      </c>
      <c r="B105" s="65" t="s">
        <v>237</v>
      </c>
      <c r="C105" s="55">
        <f>systemtable[[#This Row],[MC Forecast date]]-7</f>
        <v>44431</v>
      </c>
      <c r="D105" s="51">
        <f>systemtable[[#This Row],[Commissioning Forecast Date]]-7</f>
        <v>44438</v>
      </c>
      <c r="E105" s="55">
        <v>44445</v>
      </c>
      <c r="F105" s="35" t="s">
        <v>590</v>
      </c>
      <c r="G105" s="43" t="str">
        <f>IF(COUNT(systemtable[[#This Row],[RFI Issued Date]:[PL Received
Date]])=3,"OK","")</f>
        <v/>
      </c>
      <c r="H105" s="44" t="str">
        <f>IF(systemtable[[#This Row],[REJECTED]]&gt;0,"Status5","status"&amp;COUNT(systemtable[[#This Row],[RFI Issued Date]:[PL Received
Date]])+1)</f>
        <v>status1</v>
      </c>
      <c r="I105" s="45"/>
      <c r="J105" s="45"/>
      <c r="K105" s="45"/>
      <c r="L105" s="46"/>
    </row>
    <row r="106" spans="1:12">
      <c r="A106" s="4" t="s">
        <v>266</v>
      </c>
      <c r="B106" s="35" t="s">
        <v>265</v>
      </c>
      <c r="C106" s="55">
        <f>systemtable[[#This Row],[MC Forecast date]]-7</f>
        <v>44431</v>
      </c>
      <c r="D106" s="51">
        <f>systemtable[[#This Row],[Commissioning Forecast Date]]-7</f>
        <v>44438</v>
      </c>
      <c r="E106" s="55">
        <v>44445</v>
      </c>
      <c r="F106" s="35" t="s">
        <v>589</v>
      </c>
      <c r="G106" s="43" t="str">
        <f>IF(COUNT(systemtable[[#This Row],[RFI Issued Date]:[PL Received
Date]])=3,"OK","")</f>
        <v/>
      </c>
      <c r="H106" s="44" t="str">
        <f>IF(systemtable[[#This Row],[REJECTED]]&gt;0,"Status5","status"&amp;COUNT(systemtable[[#This Row],[RFI Issued Date]:[PL Received
Date]])+1)</f>
        <v>status1</v>
      </c>
      <c r="I106" s="45"/>
      <c r="J106" s="45"/>
      <c r="K106" s="45"/>
      <c r="L106" s="46"/>
    </row>
    <row r="107" spans="1:12">
      <c r="A107" s="4" t="s">
        <v>341</v>
      </c>
      <c r="B107" s="58" t="s">
        <v>264</v>
      </c>
      <c r="C107" s="55">
        <f>systemtable[[#This Row],[MC Forecast date]]-7</f>
        <v>44431</v>
      </c>
      <c r="D107" s="51">
        <f>systemtable[[#This Row],[Commissioning Forecast Date]]-7</f>
        <v>44438</v>
      </c>
      <c r="E107" s="55">
        <v>44445</v>
      </c>
      <c r="F107" s="35" t="s">
        <v>606</v>
      </c>
      <c r="G107" s="43" t="str">
        <f>IF(COUNT(systemtable[[#This Row],[RFI Issued Date]:[PL Received
Date]])=3,"OK","")</f>
        <v/>
      </c>
      <c r="H107" s="44" t="str">
        <f>IF(systemtable[[#This Row],[REJECTED]]&gt;0,"Status5","status"&amp;COUNT(systemtable[[#This Row],[RFI Issued Date]:[PL Received
Date]])+1)</f>
        <v>status1</v>
      </c>
      <c r="I107" s="45"/>
      <c r="J107" s="45"/>
      <c r="K107" s="45"/>
      <c r="L107" s="46"/>
    </row>
    <row r="108" spans="1:12">
      <c r="A108" s="4" t="s">
        <v>252</v>
      </c>
      <c r="B108" s="58" t="s">
        <v>193</v>
      </c>
      <c r="C108" s="55">
        <f>systemtable[[#This Row],[MC Forecast date]]-7</f>
        <v>44431</v>
      </c>
      <c r="D108" s="51">
        <f>systemtable[[#This Row],[Commissioning Forecast Date]]-7</f>
        <v>44438</v>
      </c>
      <c r="E108" s="55">
        <v>44445</v>
      </c>
      <c r="F108" s="35" t="s">
        <v>588</v>
      </c>
      <c r="G108" s="43" t="str">
        <f>IF(COUNT(systemtable[[#This Row],[RFI Issued Date]:[PL Received
Date]])=3,"OK","")</f>
        <v/>
      </c>
      <c r="H108" s="44" t="str">
        <f>IF(systemtable[[#This Row],[REJECTED]]&gt;0,"Status5","status"&amp;COUNT(systemtable[[#This Row],[RFI Issued Date]:[PL Received
Date]])+1)</f>
        <v>status1</v>
      </c>
      <c r="I108" s="45"/>
      <c r="J108" s="45"/>
      <c r="K108" s="45"/>
      <c r="L108" s="46"/>
    </row>
    <row r="109" spans="1:12">
      <c r="A109" s="4" t="s">
        <v>345</v>
      </c>
      <c r="B109" s="58" t="s">
        <v>267</v>
      </c>
      <c r="C109" s="55">
        <f>systemtable[[#This Row],[MC Forecast date]]-7</f>
        <v>44431</v>
      </c>
      <c r="D109" s="51">
        <f>systemtable[[#This Row],[Commissioning Forecast Date]]-7</f>
        <v>44438</v>
      </c>
      <c r="E109" s="55">
        <v>44445</v>
      </c>
      <c r="F109" s="35" t="s">
        <v>606</v>
      </c>
      <c r="G109" s="43" t="str">
        <f>IF(COUNT(systemtable[[#This Row],[RFI Issued Date]:[PL Received
Date]])=3,"OK","")</f>
        <v/>
      </c>
      <c r="H109" s="44" t="str">
        <f>IF(systemtable[[#This Row],[REJECTED]]&gt;0,"Status5","status"&amp;COUNT(systemtable[[#This Row],[RFI Issued Date]:[PL Received
Date]])+1)</f>
        <v>status1</v>
      </c>
      <c r="I109" s="45"/>
      <c r="J109" s="45"/>
      <c r="K109" s="45"/>
      <c r="L109" s="46"/>
    </row>
    <row r="110" spans="1:12">
      <c r="A110" s="4" t="s">
        <v>347</v>
      </c>
      <c r="B110" s="58" t="s">
        <v>269</v>
      </c>
      <c r="C110" s="55">
        <f>systemtable[[#This Row],[MC Forecast date]]-7</f>
        <v>44431</v>
      </c>
      <c r="D110" s="51">
        <f>systemtable[[#This Row],[Commissioning Forecast Date]]-7</f>
        <v>44438</v>
      </c>
      <c r="E110" s="55">
        <v>44445</v>
      </c>
      <c r="F110" s="35" t="s">
        <v>606</v>
      </c>
      <c r="G110" s="43" t="str">
        <f>IF(COUNT(systemtable[[#This Row],[RFI Issued Date]:[PL Received
Date]])=3,"OK","")</f>
        <v/>
      </c>
      <c r="H110" s="44" t="str">
        <f>IF(systemtable[[#This Row],[REJECTED]]&gt;0,"Status5","status"&amp;COUNT(systemtable[[#This Row],[RFI Issued Date]:[PL Received
Date]])+1)</f>
        <v>status1</v>
      </c>
      <c r="I110" s="45"/>
      <c r="J110" s="45"/>
      <c r="K110" s="45"/>
      <c r="L110" s="46"/>
    </row>
    <row r="111" spans="1:12">
      <c r="A111" s="4" t="s">
        <v>349</v>
      </c>
      <c r="B111" s="58" t="s">
        <v>271</v>
      </c>
      <c r="C111" s="55">
        <f>systemtable[[#This Row],[MC Forecast date]]-7</f>
        <v>44431</v>
      </c>
      <c r="D111" s="51">
        <f>systemtable[[#This Row],[Commissioning Forecast Date]]-7</f>
        <v>44438</v>
      </c>
      <c r="E111" s="55">
        <v>44445</v>
      </c>
      <c r="F111" s="35" t="s">
        <v>606</v>
      </c>
      <c r="G111" s="43" t="str">
        <f>IF(COUNT(systemtable[[#This Row],[RFI Issued Date]:[PL Received
Date]])=3,"OK","")</f>
        <v/>
      </c>
      <c r="H111" s="44" t="str">
        <f>IF(systemtable[[#This Row],[REJECTED]]&gt;0,"Status5","status"&amp;COUNT(systemtable[[#This Row],[RFI Issued Date]:[PL Received
Date]])+1)</f>
        <v>status1</v>
      </c>
      <c r="I111" s="45"/>
      <c r="J111" s="45"/>
      <c r="K111" s="45"/>
      <c r="L111" s="46"/>
    </row>
    <row r="112" spans="1:12">
      <c r="A112" s="34" t="s">
        <v>258</v>
      </c>
      <c r="B112" s="35" t="s">
        <v>163</v>
      </c>
      <c r="C112" s="55">
        <f>systemtable[[#This Row],[MC Forecast date]]-7</f>
        <v>44431</v>
      </c>
      <c r="D112" s="51">
        <f>systemtable[[#This Row],[Commissioning Forecast Date]]-7</f>
        <v>44438</v>
      </c>
      <c r="E112" s="55">
        <v>44445</v>
      </c>
      <c r="F112" s="35" t="s">
        <v>588</v>
      </c>
      <c r="G112" s="43" t="str">
        <f>IF(COUNT(systemtable[[#This Row],[RFI Issued Date]:[PL Received
Date]])=3,"OK","")</f>
        <v/>
      </c>
      <c r="H112" s="44" t="str">
        <f>IF(systemtable[[#This Row],[REJECTED]]&gt;0,"Status5","status"&amp;COUNT(systemtable[[#This Row],[RFI Issued Date]:[PL Received
Date]])+1)</f>
        <v>status1</v>
      </c>
      <c r="I112" s="45"/>
      <c r="J112" s="45"/>
      <c r="K112" s="45"/>
      <c r="L112" s="46"/>
    </row>
    <row r="113" spans="1:12">
      <c r="A113" s="4" t="s">
        <v>350</v>
      </c>
      <c r="B113" s="58" t="s">
        <v>273</v>
      </c>
      <c r="C113" s="55">
        <f>systemtable[[#This Row],[MC Forecast date]]-7</f>
        <v>44431</v>
      </c>
      <c r="D113" s="51">
        <f>systemtable[[#This Row],[Commissioning Forecast Date]]-7</f>
        <v>44438</v>
      </c>
      <c r="E113" s="55">
        <v>44445</v>
      </c>
      <c r="F113" s="35" t="s">
        <v>606</v>
      </c>
      <c r="G113" s="43" t="str">
        <f>IF(COUNT(systemtable[[#This Row],[RFI Issued Date]:[PL Received
Date]])=3,"OK","")</f>
        <v/>
      </c>
      <c r="H113" s="44" t="str">
        <f>IF(systemtable[[#This Row],[REJECTED]]&gt;0,"Status5","status"&amp;COUNT(systemtable[[#This Row],[RFI Issued Date]:[PL Received
Date]])+1)</f>
        <v>status1</v>
      </c>
      <c r="I113" s="45"/>
      <c r="J113" s="45"/>
      <c r="K113" s="45"/>
      <c r="L113" s="46"/>
    </row>
    <row r="114" spans="1:12">
      <c r="A114" s="4" t="s">
        <v>343</v>
      </c>
      <c r="B114" s="59" t="s">
        <v>279</v>
      </c>
      <c r="C114" s="55">
        <f>systemtable[[#This Row],[MC Forecast date]]-7</f>
        <v>44431</v>
      </c>
      <c r="D114" s="51">
        <f>systemtable[[#This Row],[Commissioning Forecast Date]]-7</f>
        <v>44438</v>
      </c>
      <c r="E114" s="55">
        <v>44445</v>
      </c>
      <c r="F114" s="35" t="s">
        <v>606</v>
      </c>
      <c r="G114" s="43" t="str">
        <f>IF(COUNT(systemtable[[#This Row],[RFI Issued Date]:[PL Received
Date]])=3,"OK","")</f>
        <v/>
      </c>
      <c r="H114" s="44" t="str">
        <f>IF(systemtable[[#This Row],[REJECTED]]&gt;0,"Status5","status"&amp;COUNT(systemtable[[#This Row],[RFI Issued Date]:[PL Received
Date]])+1)</f>
        <v>status1</v>
      </c>
      <c r="I114" s="45"/>
      <c r="J114" s="45"/>
      <c r="K114" s="45"/>
      <c r="L114" s="46"/>
    </row>
    <row r="115" spans="1:12">
      <c r="A115" s="4" t="s">
        <v>351</v>
      </c>
      <c r="B115" s="59" t="s">
        <v>281</v>
      </c>
      <c r="C115" s="55">
        <f>systemtable[[#This Row],[MC Forecast date]]-7</f>
        <v>44431</v>
      </c>
      <c r="D115" s="51">
        <f>systemtable[[#This Row],[Commissioning Forecast Date]]-7</f>
        <v>44438</v>
      </c>
      <c r="E115" s="55">
        <v>44445</v>
      </c>
      <c r="F115" s="35" t="s">
        <v>606</v>
      </c>
      <c r="G115" s="43" t="str">
        <f>IF(COUNT(systemtable[[#This Row],[RFI Issued Date]:[PL Received
Date]])=3,"OK","")</f>
        <v/>
      </c>
      <c r="H115" s="44" t="str">
        <f>IF(systemtable[[#This Row],[REJECTED]]&gt;0,"Status5","status"&amp;COUNT(systemtable[[#This Row],[RFI Issued Date]:[PL Received
Date]])+1)</f>
        <v>status1</v>
      </c>
      <c r="I115" s="45"/>
      <c r="J115" s="45"/>
      <c r="K115" s="45"/>
      <c r="L115" s="46"/>
    </row>
    <row r="116" spans="1:12">
      <c r="A116" s="4" t="s">
        <v>287</v>
      </c>
      <c r="B116" s="62" t="s">
        <v>286</v>
      </c>
      <c r="C116" s="55">
        <f>systemtable[[#This Row],[MC Forecast date]]-7</f>
        <v>44431</v>
      </c>
      <c r="D116" s="51">
        <f>systemtable[[#This Row],[Commissioning Forecast Date]]-7</f>
        <v>44438</v>
      </c>
      <c r="E116" s="55">
        <v>44445</v>
      </c>
      <c r="F116" s="35" t="s">
        <v>590</v>
      </c>
      <c r="G116" s="43" t="str">
        <f>IF(COUNT(systemtable[[#This Row],[RFI Issued Date]:[PL Received
Date]])=3,"OK","")</f>
        <v/>
      </c>
      <c r="H116" s="44" t="str">
        <f>IF(systemtable[[#This Row],[REJECTED]]&gt;0,"Status5","status"&amp;COUNT(systemtable[[#This Row],[RFI Issued Date]:[PL Received
Date]])+1)</f>
        <v>status1</v>
      </c>
      <c r="I116" s="45"/>
      <c r="J116" s="45"/>
      <c r="K116" s="45"/>
      <c r="L116" s="46"/>
    </row>
    <row r="117" spans="1:12">
      <c r="A117" s="4" t="s">
        <v>532</v>
      </c>
      <c r="B117" s="35" t="s">
        <v>344</v>
      </c>
      <c r="C117" s="55">
        <f>systemtable[[#This Row],[MC Forecast date]]-7</f>
        <v>44438</v>
      </c>
      <c r="D117" s="51">
        <f>systemtable[[#This Row],[Commissioning Forecast Date]]-7</f>
        <v>44445</v>
      </c>
      <c r="E117" s="55">
        <v>44452</v>
      </c>
      <c r="F117" s="35" t="s">
        <v>618</v>
      </c>
      <c r="G117" s="43" t="str">
        <f>IF(COUNT(systemtable[[#This Row],[RFI Issued Date]:[PL Received
Date]])=3,"OK","")</f>
        <v/>
      </c>
      <c r="H117" s="44" t="str">
        <f>IF(systemtable[[#This Row],[REJECTED]]&gt;0,"Status5","status"&amp;COUNT(systemtable[[#This Row],[RFI Issued Date]:[PL Received
Date]])+1)</f>
        <v>status1</v>
      </c>
      <c r="I117" s="45"/>
      <c r="J117" s="45"/>
      <c r="K117" s="45"/>
      <c r="L117" s="46"/>
    </row>
    <row r="118" spans="1:12">
      <c r="A118" s="4" t="s">
        <v>497</v>
      </c>
      <c r="B118" s="35" t="s">
        <v>653</v>
      </c>
      <c r="C118" s="55">
        <f>systemtable[[#This Row],[MC Forecast date]]-7</f>
        <v>44438</v>
      </c>
      <c r="D118" s="51">
        <f>systemtable[[#This Row],[Commissioning Forecast Date]]-7</f>
        <v>44445</v>
      </c>
      <c r="E118" s="55">
        <v>44452</v>
      </c>
      <c r="F118" s="35" t="s">
        <v>618</v>
      </c>
      <c r="G118" s="43" t="str">
        <f>IF(COUNT(systemtable[[#This Row],[RFI Issued Date]:[PL Received
Date]])=3,"OK","")</f>
        <v/>
      </c>
      <c r="H118" s="44" t="str">
        <f>IF(systemtable[[#This Row],[REJECTED]]&gt;0,"Status5","status"&amp;COUNT(systemtable[[#This Row],[RFI Issued Date]:[PL Received
Date]])+1)</f>
        <v>status1</v>
      </c>
      <c r="I118" s="45"/>
      <c r="J118" s="45"/>
      <c r="K118" s="45"/>
      <c r="L118" s="46"/>
    </row>
    <row r="119" spans="1:12">
      <c r="A119" s="4" t="s">
        <v>533</v>
      </c>
      <c r="B119" s="35" t="s">
        <v>454</v>
      </c>
      <c r="C119" s="55">
        <f>systemtable[[#This Row],[MC Forecast date]]-7</f>
        <v>44438</v>
      </c>
      <c r="D119" s="51">
        <f>systemtable[[#This Row],[Commissioning Forecast Date]]-7</f>
        <v>44445</v>
      </c>
      <c r="E119" s="55">
        <v>44452</v>
      </c>
      <c r="F119" s="35" t="s">
        <v>618</v>
      </c>
      <c r="G119" s="43" t="str">
        <f>IF(COUNT(systemtable[[#This Row],[RFI Issued Date]:[PL Received
Date]])=3,"OK","")</f>
        <v/>
      </c>
      <c r="H119" s="44" t="str">
        <f>IF(systemtable[[#This Row],[REJECTED]]&gt;0,"Status5","status"&amp;COUNT(systemtable[[#This Row],[RFI Issued Date]:[PL Received
Date]])+1)</f>
        <v>status1</v>
      </c>
      <c r="I119" s="45"/>
      <c r="J119" s="45"/>
      <c r="K119" s="45"/>
      <c r="L119" s="46"/>
    </row>
    <row r="120" spans="1:12">
      <c r="A120" s="4" t="s">
        <v>481</v>
      </c>
      <c r="B120" s="41" t="s">
        <v>423</v>
      </c>
      <c r="C120" s="55">
        <f>systemtable[[#This Row],[MC Forecast date]]-7</f>
        <v>44438</v>
      </c>
      <c r="D120" s="51">
        <f>systemtable[[#This Row],[Commissioning Forecast Date]]-7</f>
        <v>44445</v>
      </c>
      <c r="E120" s="55">
        <v>44452</v>
      </c>
      <c r="F120" s="35" t="s">
        <v>618</v>
      </c>
      <c r="G120" s="43" t="str">
        <f>IF(COUNT(systemtable[[#This Row],[RFI Issued Date]:[PL Received
Date]])=3,"OK","")</f>
        <v/>
      </c>
      <c r="H120" s="44" t="str">
        <f>IF(systemtable[[#This Row],[REJECTED]]&gt;0,"Status5","status"&amp;COUNT(systemtable[[#This Row],[RFI Issued Date]:[PL Received
Date]])+1)</f>
        <v>status1</v>
      </c>
      <c r="I120" s="45"/>
      <c r="J120" s="45"/>
      <c r="K120" s="45"/>
      <c r="L120" s="46"/>
    </row>
    <row r="121" spans="1:12">
      <c r="A121" s="4" t="s">
        <v>482</v>
      </c>
      <c r="B121" s="41" t="s">
        <v>415</v>
      </c>
      <c r="C121" s="55">
        <f>systemtable[[#This Row],[MC Forecast date]]-7</f>
        <v>44438</v>
      </c>
      <c r="D121" s="51">
        <f>systemtable[[#This Row],[Commissioning Forecast Date]]-7</f>
        <v>44445</v>
      </c>
      <c r="E121" s="55">
        <v>44452</v>
      </c>
      <c r="F121" s="35" t="s">
        <v>618</v>
      </c>
      <c r="G121" s="43" t="str">
        <f>IF(COUNT(systemtable[[#This Row],[RFI Issued Date]:[PL Received
Date]])=3,"OK","")</f>
        <v/>
      </c>
      <c r="H121" s="44" t="str">
        <f>IF(systemtable[[#This Row],[REJECTED]]&gt;0,"Status5","status"&amp;COUNT(systemtable[[#This Row],[RFI Issued Date]:[PL Received
Date]])+1)</f>
        <v>status1</v>
      </c>
      <c r="I121" s="45"/>
      <c r="J121" s="45"/>
      <c r="K121" s="45"/>
      <c r="L121" s="46"/>
    </row>
    <row r="122" spans="1:12">
      <c r="A122" s="4" t="s">
        <v>505</v>
      </c>
      <c r="B122" s="35" t="s">
        <v>426</v>
      </c>
      <c r="C122" s="55">
        <f>systemtable[[#This Row],[MC Forecast date]]-7</f>
        <v>44438</v>
      </c>
      <c r="D122" s="51">
        <f>systemtable[[#This Row],[Commissioning Forecast Date]]-7</f>
        <v>44445</v>
      </c>
      <c r="E122" s="55">
        <v>44452</v>
      </c>
      <c r="F122" s="35" t="s">
        <v>618</v>
      </c>
      <c r="G122" s="43" t="str">
        <f>IF(COUNT(systemtable[[#This Row],[RFI Issued Date]:[PL Received
Date]])=3,"OK","")</f>
        <v/>
      </c>
      <c r="H122" s="44" t="str">
        <f>IF(systemtable[[#This Row],[REJECTED]]&gt;0,"Status5","status"&amp;COUNT(systemtable[[#This Row],[RFI Issued Date]:[PL Received
Date]])+1)</f>
        <v>status1</v>
      </c>
      <c r="I122" s="45"/>
      <c r="J122" s="45"/>
      <c r="K122" s="45"/>
      <c r="L122" s="46"/>
    </row>
    <row r="123" spans="1:12">
      <c r="A123" s="4" t="s">
        <v>506</v>
      </c>
      <c r="B123" s="35" t="s">
        <v>428</v>
      </c>
      <c r="C123" s="55">
        <f>systemtable[[#This Row],[MC Forecast date]]-7</f>
        <v>44438</v>
      </c>
      <c r="D123" s="51">
        <f>systemtable[[#This Row],[Commissioning Forecast Date]]-7</f>
        <v>44445</v>
      </c>
      <c r="E123" s="55">
        <v>44452</v>
      </c>
      <c r="F123" s="35" t="s">
        <v>618</v>
      </c>
      <c r="G123" s="43" t="str">
        <f>IF(COUNT(systemtable[[#This Row],[RFI Issued Date]:[PL Received
Date]])=3,"OK","")</f>
        <v/>
      </c>
      <c r="H123" s="44" t="str">
        <f>IF(systemtable[[#This Row],[REJECTED]]&gt;0,"Status5","status"&amp;COUNT(systemtable[[#This Row],[RFI Issued Date]:[PL Received
Date]])+1)</f>
        <v>status1</v>
      </c>
      <c r="I123" s="45"/>
      <c r="J123" s="45"/>
      <c r="K123" s="45"/>
      <c r="L123" s="46"/>
    </row>
    <row r="124" spans="1:12">
      <c r="A124" s="4" t="s">
        <v>510</v>
      </c>
      <c r="B124" s="35" t="s">
        <v>430</v>
      </c>
      <c r="C124" s="55">
        <f>systemtable[[#This Row],[MC Forecast date]]-7</f>
        <v>44438</v>
      </c>
      <c r="D124" s="51">
        <f>systemtable[[#This Row],[Commissioning Forecast Date]]-7</f>
        <v>44445</v>
      </c>
      <c r="E124" s="55">
        <v>44452</v>
      </c>
      <c r="F124" s="35" t="s">
        <v>618</v>
      </c>
      <c r="G124" s="43" t="str">
        <f>IF(COUNT(systemtable[[#This Row],[RFI Issued Date]:[PL Received
Date]])=3,"OK","")</f>
        <v/>
      </c>
      <c r="H124" s="44" t="str">
        <f>IF(systemtable[[#This Row],[REJECTED]]&gt;0,"Status5","status"&amp;COUNT(systemtable[[#This Row],[RFI Issued Date]:[PL Received
Date]])+1)</f>
        <v>status1</v>
      </c>
      <c r="I124" s="45"/>
      <c r="J124" s="45"/>
      <c r="K124" s="45"/>
      <c r="L124" s="46"/>
    </row>
    <row r="125" spans="1:12">
      <c r="A125" s="4" t="s">
        <v>511</v>
      </c>
      <c r="B125" s="35" t="s">
        <v>433</v>
      </c>
      <c r="C125" s="55">
        <f>systemtable[[#This Row],[MC Forecast date]]-7</f>
        <v>44438</v>
      </c>
      <c r="D125" s="51">
        <f>systemtable[[#This Row],[Commissioning Forecast Date]]-7</f>
        <v>44445</v>
      </c>
      <c r="E125" s="55">
        <v>44452</v>
      </c>
      <c r="F125" s="35" t="s">
        <v>618</v>
      </c>
      <c r="G125" s="43" t="str">
        <f>IF(COUNT(systemtable[[#This Row],[RFI Issued Date]:[PL Received
Date]])=3,"OK","")</f>
        <v/>
      </c>
      <c r="H125" s="44" t="str">
        <f>IF(systemtable[[#This Row],[REJECTED]]&gt;0,"Status5","status"&amp;COUNT(systemtable[[#This Row],[RFI Issued Date]:[PL Received
Date]])+1)</f>
        <v>status1</v>
      </c>
      <c r="I125" s="45"/>
      <c r="J125" s="45"/>
      <c r="K125" s="45"/>
      <c r="L125" s="46"/>
    </row>
    <row r="126" spans="1:12">
      <c r="A126" s="4" t="s">
        <v>513</v>
      </c>
      <c r="B126" s="35" t="s">
        <v>424</v>
      </c>
      <c r="C126" s="55">
        <f>systemtable[[#This Row],[MC Forecast date]]-7</f>
        <v>44438</v>
      </c>
      <c r="D126" s="51">
        <f>systemtable[[#This Row],[Commissioning Forecast Date]]-7</f>
        <v>44445</v>
      </c>
      <c r="E126" s="55">
        <v>44452</v>
      </c>
      <c r="F126" s="35" t="s">
        <v>618</v>
      </c>
      <c r="G126" s="43" t="str">
        <f>IF(COUNT(systemtable[[#This Row],[RFI Issued Date]:[PL Received
Date]])=3,"OK","")</f>
        <v/>
      </c>
      <c r="H126" s="44" t="str">
        <f>IF(systemtable[[#This Row],[REJECTED]]&gt;0,"Status5","status"&amp;COUNT(systemtable[[#This Row],[RFI Issued Date]:[PL Received
Date]])+1)</f>
        <v>status1</v>
      </c>
      <c r="I126" s="45"/>
      <c r="J126" s="45"/>
      <c r="K126" s="45"/>
      <c r="L126" s="46"/>
    </row>
    <row r="127" spans="1:12">
      <c r="A127" s="4" t="s">
        <v>516</v>
      </c>
      <c r="B127" s="35" t="s">
        <v>443</v>
      </c>
      <c r="C127" s="55">
        <f>systemtable[[#This Row],[MC Forecast date]]-7</f>
        <v>44438</v>
      </c>
      <c r="D127" s="51">
        <f>systemtable[[#This Row],[Commissioning Forecast Date]]-7</f>
        <v>44445</v>
      </c>
      <c r="E127" s="55">
        <v>44452</v>
      </c>
      <c r="F127" s="35" t="s">
        <v>618</v>
      </c>
      <c r="G127" s="43" t="str">
        <f>IF(COUNT(systemtable[[#This Row],[RFI Issued Date]:[PL Received
Date]])=3,"OK","")</f>
        <v/>
      </c>
      <c r="H127" s="44" t="str">
        <f>IF(systemtable[[#This Row],[REJECTED]]&gt;0,"Status5","status"&amp;COUNT(systemtable[[#This Row],[RFI Issued Date]:[PL Received
Date]])+1)</f>
        <v>status1</v>
      </c>
      <c r="I127" s="45"/>
      <c r="J127" s="45"/>
      <c r="K127" s="45"/>
      <c r="L127" s="46"/>
    </row>
    <row r="128" spans="1:12">
      <c r="A128" s="4" t="s">
        <v>531</v>
      </c>
      <c r="B128" s="35" t="s">
        <v>435</v>
      </c>
      <c r="C128" s="55">
        <f>systemtable[[#This Row],[MC Forecast date]]-7</f>
        <v>44438</v>
      </c>
      <c r="D128" s="51">
        <f>systemtable[[#This Row],[Commissioning Forecast Date]]-7</f>
        <v>44445</v>
      </c>
      <c r="E128" s="55">
        <v>44452</v>
      </c>
      <c r="F128" s="35" t="s">
        <v>618</v>
      </c>
      <c r="G128" s="43" t="str">
        <f>IF(COUNT(systemtable[[#This Row],[RFI Issued Date]:[PL Received
Date]])=3,"OK","")</f>
        <v/>
      </c>
      <c r="H128" s="44" t="str">
        <f>IF(systemtable[[#This Row],[REJECTED]]&gt;0,"Status5","status"&amp;COUNT(systemtable[[#This Row],[RFI Issued Date]:[PL Received
Date]])+1)</f>
        <v>status1</v>
      </c>
      <c r="I128" s="45"/>
      <c r="J128" s="45"/>
      <c r="K128" s="45"/>
      <c r="L128" s="46"/>
    </row>
    <row r="129" spans="1:12">
      <c r="A129" s="4" t="s">
        <v>489</v>
      </c>
      <c r="B129" s="41" t="s">
        <v>444</v>
      </c>
      <c r="C129" s="55">
        <f>systemtable[[#This Row],[MC Forecast date]]-7</f>
        <v>44438</v>
      </c>
      <c r="D129" s="51">
        <f>systemtable[[#This Row],[Commissioning Forecast Date]]-7</f>
        <v>44445</v>
      </c>
      <c r="E129" s="55">
        <v>44452</v>
      </c>
      <c r="F129" s="35" t="s">
        <v>618</v>
      </c>
      <c r="G129" s="43" t="str">
        <f>IF(COUNT(systemtable[[#This Row],[RFI Issued Date]:[PL Received
Date]])=3,"OK","")</f>
        <v/>
      </c>
      <c r="H129" s="44" t="str">
        <f>IF(systemtable[[#This Row],[REJECTED]]&gt;0,"Status5","status"&amp;COUNT(systemtable[[#This Row],[RFI Issued Date]:[PL Received
Date]])+1)</f>
        <v>status1</v>
      </c>
      <c r="I129" s="45"/>
      <c r="J129" s="45"/>
      <c r="K129" s="45"/>
      <c r="L129" s="46"/>
    </row>
    <row r="130" spans="1:12">
      <c r="A130" s="4" t="s">
        <v>514</v>
      </c>
      <c r="B130" s="35" t="s">
        <v>438</v>
      </c>
      <c r="C130" s="55">
        <f>systemtable[[#This Row],[MC Forecast date]]-7</f>
        <v>44438</v>
      </c>
      <c r="D130" s="51">
        <f>systemtable[[#This Row],[Commissioning Forecast Date]]-7</f>
        <v>44445</v>
      </c>
      <c r="E130" s="55">
        <v>44452</v>
      </c>
      <c r="F130" s="35" t="s">
        <v>618</v>
      </c>
      <c r="G130" s="43" t="str">
        <f>IF(COUNT(systemtable[[#This Row],[RFI Issued Date]:[PL Received
Date]])=3,"OK","")</f>
        <v/>
      </c>
      <c r="H130" s="44" t="str">
        <f>IF(systemtable[[#This Row],[REJECTED]]&gt;0,"Status5","status"&amp;COUNT(systemtable[[#This Row],[RFI Issued Date]:[PL Received
Date]])+1)</f>
        <v>status1</v>
      </c>
      <c r="I130" s="45"/>
      <c r="J130" s="45"/>
      <c r="K130" s="45"/>
      <c r="L130" s="46"/>
    </row>
    <row r="131" spans="1:12">
      <c r="A131" s="4" t="s">
        <v>529</v>
      </c>
      <c r="B131" s="35" t="s">
        <v>528</v>
      </c>
      <c r="C131" s="55">
        <f>systemtable[[#This Row],[MC Forecast date]]-7</f>
        <v>44438</v>
      </c>
      <c r="D131" s="51">
        <f>systemtable[[#This Row],[Commissioning Forecast Date]]-7</f>
        <v>44445</v>
      </c>
      <c r="E131" s="55">
        <v>44452</v>
      </c>
      <c r="F131" s="35" t="s">
        <v>618</v>
      </c>
      <c r="G131" s="43" t="str">
        <f>IF(COUNT(systemtable[[#This Row],[RFI Issued Date]:[PL Received
Date]])=3,"OK","")</f>
        <v/>
      </c>
      <c r="H131" s="44" t="str">
        <f>IF(systemtable[[#This Row],[REJECTED]]&gt;0,"Status5","status"&amp;COUNT(systemtable[[#This Row],[RFI Issued Date]:[PL Received
Date]])+1)</f>
        <v>status1</v>
      </c>
      <c r="I131" s="45"/>
      <c r="J131" s="45"/>
      <c r="K131" s="45"/>
      <c r="L131" s="46"/>
    </row>
    <row r="132" spans="1:12">
      <c r="A132" s="4" t="s">
        <v>530</v>
      </c>
      <c r="B132" s="35" t="s">
        <v>441</v>
      </c>
      <c r="C132" s="55">
        <f>systemtable[[#This Row],[MC Forecast date]]-7</f>
        <v>44438</v>
      </c>
      <c r="D132" s="51">
        <f>systemtable[[#This Row],[Commissioning Forecast Date]]-7</f>
        <v>44445</v>
      </c>
      <c r="E132" s="55">
        <v>44452</v>
      </c>
      <c r="F132" s="35" t="s">
        <v>618</v>
      </c>
      <c r="G132" s="43" t="str">
        <f>IF(COUNT(systemtable[[#This Row],[RFI Issued Date]:[PL Received
Date]])=3,"OK","")</f>
        <v/>
      </c>
      <c r="H132" s="44" t="str">
        <f>IF(systemtable[[#This Row],[REJECTED]]&gt;0,"Status5","status"&amp;COUNT(systemtable[[#This Row],[RFI Issued Date]:[PL Received
Date]])+1)</f>
        <v>status1</v>
      </c>
      <c r="I132" s="45"/>
      <c r="J132" s="45"/>
      <c r="K132" s="45"/>
      <c r="L132" s="46"/>
    </row>
    <row r="133" spans="1:12">
      <c r="A133" s="4" t="s">
        <v>484</v>
      </c>
      <c r="B133" s="41" t="s">
        <v>483</v>
      </c>
      <c r="C133" s="55">
        <f>systemtable[[#This Row],[MC Forecast date]]-7</f>
        <v>44438</v>
      </c>
      <c r="D133" s="51">
        <f>systemtable[[#This Row],[Commissioning Forecast Date]]-7</f>
        <v>44445</v>
      </c>
      <c r="E133" s="55">
        <v>44452</v>
      </c>
      <c r="F133" s="35" t="s">
        <v>618</v>
      </c>
      <c r="G133" s="43" t="str">
        <f>IF(COUNT(systemtable[[#This Row],[RFI Issued Date]:[PL Received
Date]])=3,"OK","")</f>
        <v/>
      </c>
      <c r="H133" s="44" t="str">
        <f>IF(systemtable[[#This Row],[REJECTED]]&gt;0,"Status5","status"&amp;COUNT(systemtable[[#This Row],[RFI Issued Date]:[PL Received
Date]])+1)</f>
        <v>status1</v>
      </c>
      <c r="I133" s="45"/>
      <c r="J133" s="45"/>
      <c r="K133" s="45"/>
      <c r="L133" s="46"/>
    </row>
    <row r="134" spans="1:12">
      <c r="A134" s="4" t="s">
        <v>486</v>
      </c>
      <c r="B134" s="41" t="s">
        <v>485</v>
      </c>
      <c r="C134" s="55">
        <f>systemtable[[#This Row],[MC Forecast date]]-7</f>
        <v>44438</v>
      </c>
      <c r="D134" s="51">
        <f>systemtable[[#This Row],[Commissioning Forecast Date]]-7</f>
        <v>44445</v>
      </c>
      <c r="E134" s="55">
        <v>44452</v>
      </c>
      <c r="F134" s="35" t="s">
        <v>618</v>
      </c>
      <c r="G134" s="43" t="str">
        <f>IF(COUNT(systemtable[[#This Row],[RFI Issued Date]:[PL Received
Date]])=3,"OK","")</f>
        <v/>
      </c>
      <c r="H134" s="44" t="str">
        <f>IF(systemtable[[#This Row],[REJECTED]]&gt;0,"Status5","status"&amp;COUNT(systemtable[[#This Row],[RFI Issued Date]:[PL Received
Date]])+1)</f>
        <v>status1</v>
      </c>
      <c r="I134" s="45"/>
      <c r="J134" s="45"/>
      <c r="K134" s="45"/>
      <c r="L134" s="46"/>
    </row>
    <row r="135" spans="1:12">
      <c r="A135" s="4" t="s">
        <v>520</v>
      </c>
      <c r="B135" s="35" t="s">
        <v>519</v>
      </c>
      <c r="C135" s="55">
        <f>systemtable[[#This Row],[MC Forecast date]]-7</f>
        <v>44438</v>
      </c>
      <c r="D135" s="51">
        <f>systemtable[[#This Row],[Commissioning Forecast Date]]-7</f>
        <v>44445</v>
      </c>
      <c r="E135" s="55">
        <v>44452</v>
      </c>
      <c r="F135" s="35" t="s">
        <v>618</v>
      </c>
      <c r="G135" s="43" t="str">
        <f>IF(COUNT(systemtable[[#This Row],[RFI Issued Date]:[PL Received
Date]])=3,"OK","")</f>
        <v/>
      </c>
      <c r="H135" s="44" t="str">
        <f>IF(systemtable[[#This Row],[REJECTED]]&gt;0,"Status5","status"&amp;COUNT(systemtable[[#This Row],[RFI Issued Date]:[PL Received
Date]])+1)</f>
        <v>status1</v>
      </c>
      <c r="I135" s="45"/>
      <c r="J135" s="45"/>
      <c r="K135" s="45"/>
      <c r="L135" s="46"/>
    </row>
    <row r="136" spans="1:12">
      <c r="A136" s="34" t="s">
        <v>647</v>
      </c>
      <c r="B136" s="35" t="s">
        <v>522</v>
      </c>
      <c r="C136" s="55">
        <f>systemtable[[#This Row],[MC Forecast date]]-7</f>
        <v>44438</v>
      </c>
      <c r="D136" s="51">
        <f>systemtable[[#This Row],[Commissioning Forecast Date]]-7</f>
        <v>44445</v>
      </c>
      <c r="E136" s="55">
        <v>44452</v>
      </c>
      <c r="F136" s="35" t="s">
        <v>618</v>
      </c>
      <c r="G136" s="43" t="str">
        <f>IF(COUNT(systemtable[[#This Row],[RFI Issued Date]:[PL Received
Date]])=3,"OK","")</f>
        <v/>
      </c>
      <c r="H136" s="44" t="str">
        <f>IF(systemtable[[#This Row],[REJECTED]]&gt;0,"Status5","status"&amp;COUNT(systemtable[[#This Row],[RFI Issued Date]:[PL Received
Date]])+1)</f>
        <v>status1</v>
      </c>
      <c r="I136" s="45"/>
      <c r="J136" s="45"/>
      <c r="K136" s="45"/>
      <c r="L136" s="46"/>
    </row>
    <row r="137" spans="1:12">
      <c r="A137" s="34" t="s">
        <v>524</v>
      </c>
      <c r="B137" s="35" t="s">
        <v>646</v>
      </c>
      <c r="C137" s="55">
        <f>systemtable[[#This Row],[MC Forecast date]]-7</f>
        <v>44438</v>
      </c>
      <c r="D137" s="51">
        <f>systemtable[[#This Row],[Commissioning Forecast Date]]-7</f>
        <v>44445</v>
      </c>
      <c r="E137" s="55">
        <v>44452</v>
      </c>
      <c r="F137" s="35" t="s">
        <v>618</v>
      </c>
      <c r="G137" s="43" t="str">
        <f>IF(COUNT(systemtable[[#This Row],[RFI Issued Date]:[PL Received
Date]])=3,"OK","")</f>
        <v/>
      </c>
      <c r="H137" s="44" t="str">
        <f>IF(systemtable[[#This Row],[REJECTED]]&gt;0,"Status5","status"&amp;COUNT(systemtable[[#This Row],[RFI Issued Date]:[PL Received
Date]])+1)</f>
        <v>status1</v>
      </c>
      <c r="I137" s="45"/>
      <c r="J137" s="45"/>
      <c r="K137" s="45"/>
      <c r="L137" s="46"/>
    </row>
    <row r="138" spans="1:12">
      <c r="A138" s="34" t="s">
        <v>526</v>
      </c>
      <c r="B138" s="35" t="s">
        <v>525</v>
      </c>
      <c r="C138" s="55">
        <f>systemtable[[#This Row],[MC Forecast date]]-7</f>
        <v>44438</v>
      </c>
      <c r="D138" s="51">
        <f>systemtable[[#This Row],[Commissioning Forecast Date]]-7</f>
        <v>44445</v>
      </c>
      <c r="E138" s="55">
        <v>44452</v>
      </c>
      <c r="F138" s="35" t="s">
        <v>618</v>
      </c>
      <c r="G138" s="43" t="str">
        <f>IF(COUNT(systemtable[[#This Row],[RFI Issued Date]:[PL Received
Date]])=3,"OK","")</f>
        <v/>
      </c>
      <c r="H138" s="44" t="str">
        <f>IF(systemtable[[#This Row],[REJECTED]]&gt;0,"Status5","status"&amp;COUNT(systemtable[[#This Row],[RFI Issued Date]:[PL Received
Date]])+1)</f>
        <v>status1</v>
      </c>
      <c r="I138" s="45"/>
      <c r="J138" s="45"/>
      <c r="K138" s="45"/>
      <c r="L138" s="46"/>
    </row>
    <row r="139" spans="1:12">
      <c r="A139" s="34" t="s">
        <v>527</v>
      </c>
      <c r="B139" s="35" t="s">
        <v>648</v>
      </c>
      <c r="C139" s="55">
        <f>systemtable[[#This Row],[MC Forecast date]]-7</f>
        <v>44438</v>
      </c>
      <c r="D139" s="51">
        <f>systemtable[[#This Row],[Commissioning Forecast Date]]-7</f>
        <v>44445</v>
      </c>
      <c r="E139" s="55">
        <v>44452</v>
      </c>
      <c r="F139" s="35" t="s">
        <v>618</v>
      </c>
      <c r="G139" s="43" t="str">
        <f>IF(COUNT(systemtable[[#This Row],[RFI Issued Date]:[PL Received
Date]])=3,"OK","")</f>
        <v/>
      </c>
      <c r="H139" s="44" t="str">
        <f>IF(systemtable[[#This Row],[REJECTED]]&gt;0,"Status5","status"&amp;COUNT(systemtable[[#This Row],[RFI Issued Date]:[PL Received
Date]])+1)</f>
        <v>status1</v>
      </c>
      <c r="I139" s="45"/>
      <c r="J139" s="45"/>
      <c r="K139" s="45"/>
      <c r="L139" s="46"/>
    </row>
    <row r="140" spans="1:12">
      <c r="A140" s="4" t="s">
        <v>321</v>
      </c>
      <c r="B140" s="58" t="s">
        <v>257</v>
      </c>
      <c r="C140" s="55">
        <f>systemtable[[#This Row],[MC Forecast date]]-7</f>
        <v>44438</v>
      </c>
      <c r="D140" s="51">
        <f>systemtable[[#This Row],[Commissioning Forecast Date]]-7</f>
        <v>44445</v>
      </c>
      <c r="E140" s="55">
        <v>44452</v>
      </c>
      <c r="F140" s="35" t="s">
        <v>600</v>
      </c>
      <c r="G140" s="43" t="str">
        <f>IF(COUNT(systemtable[[#This Row],[RFI Issued Date]:[PL Received
Date]])=3,"OK","")</f>
        <v/>
      </c>
      <c r="H140" s="44" t="str">
        <f>IF(systemtable[[#This Row],[REJECTED]]&gt;0,"Status5","status"&amp;COUNT(systemtable[[#This Row],[RFI Issued Date]:[PL Received
Date]])+1)</f>
        <v>status1</v>
      </c>
      <c r="I140" s="45"/>
      <c r="J140" s="45"/>
      <c r="K140" s="45"/>
      <c r="L140" s="46"/>
    </row>
    <row r="141" spans="1:12">
      <c r="A141" s="34" t="s">
        <v>518</v>
      </c>
      <c r="B141" s="35" t="s">
        <v>517</v>
      </c>
      <c r="C141" s="55">
        <f>systemtable[[#This Row],[MC Forecast date]]-7</f>
        <v>44438</v>
      </c>
      <c r="D141" s="51">
        <f>systemtable[[#This Row],[Commissioning Forecast Date]]-7</f>
        <v>44445</v>
      </c>
      <c r="E141" s="55">
        <v>44452</v>
      </c>
      <c r="F141" s="35" t="s">
        <v>618</v>
      </c>
      <c r="G141" s="43" t="str">
        <f>IF(COUNT(systemtable[[#This Row],[RFI Issued Date]:[PL Received
Date]])=3,"OK","")</f>
        <v/>
      </c>
      <c r="H141" s="44" t="str">
        <f>IF(systemtable[[#This Row],[REJECTED]]&gt;0,"Status5","status"&amp;COUNT(systemtable[[#This Row],[RFI Issued Date]:[PL Received
Date]])+1)</f>
        <v>status1</v>
      </c>
      <c r="I141" s="45"/>
      <c r="J141" s="45"/>
      <c r="K141" s="45"/>
      <c r="L141" s="46"/>
    </row>
    <row r="142" spans="1:12">
      <c r="A142" s="4" t="s">
        <v>322</v>
      </c>
      <c r="B142" s="58" t="s">
        <v>259</v>
      </c>
      <c r="C142" s="55">
        <f>systemtable[[#This Row],[MC Forecast date]]-7</f>
        <v>44438</v>
      </c>
      <c r="D142" s="51">
        <f>systemtable[[#This Row],[Commissioning Forecast Date]]-7</f>
        <v>44445</v>
      </c>
      <c r="E142" s="55">
        <v>44452</v>
      </c>
      <c r="F142" s="35" t="s">
        <v>600</v>
      </c>
      <c r="G142" s="43" t="str">
        <f>IF(COUNT(systemtable[[#This Row],[RFI Issued Date]:[PL Received
Date]])=3,"OK","")</f>
        <v/>
      </c>
      <c r="H142" s="44" t="str">
        <f>IF(systemtable[[#This Row],[REJECTED]]&gt;0,"Status5","status"&amp;COUNT(systemtable[[#This Row],[RFI Issued Date]:[PL Received
Date]])+1)</f>
        <v>status1</v>
      </c>
      <c r="I142" s="45"/>
      <c r="J142" s="45"/>
      <c r="K142" s="45"/>
      <c r="L142" s="46"/>
    </row>
    <row r="143" spans="1:12">
      <c r="A143" s="4" t="s">
        <v>323</v>
      </c>
      <c r="B143" s="58" t="s">
        <v>262</v>
      </c>
      <c r="C143" s="55">
        <f>systemtable[[#This Row],[MC Forecast date]]-7</f>
        <v>44438</v>
      </c>
      <c r="D143" s="51">
        <f>systemtable[[#This Row],[Commissioning Forecast Date]]-7</f>
        <v>44445</v>
      </c>
      <c r="E143" s="55">
        <v>44452</v>
      </c>
      <c r="F143" s="35" t="s">
        <v>600</v>
      </c>
      <c r="G143" s="43" t="str">
        <f>IF(COUNT(systemtable[[#This Row],[RFI Issued Date]:[PL Received
Date]])=3,"OK","")</f>
        <v/>
      </c>
      <c r="H143" s="44" t="str">
        <f>IF(systemtable[[#This Row],[REJECTED]]&gt;0,"Status5","status"&amp;COUNT(systemtable[[#This Row],[RFI Issued Date]:[PL Received
Date]])+1)</f>
        <v>status1</v>
      </c>
      <c r="I143" s="45"/>
      <c r="J143" s="45"/>
      <c r="K143" s="45"/>
      <c r="L143" s="46"/>
    </row>
    <row r="144" spans="1:12">
      <c r="A144" s="4" t="s">
        <v>521</v>
      </c>
      <c r="B144" s="35" t="s">
        <v>450</v>
      </c>
      <c r="C144" s="55">
        <f>systemtable[[#This Row],[MC Forecast date]]-7</f>
        <v>44438</v>
      </c>
      <c r="D144" s="51">
        <f>systemtable[[#This Row],[Commissioning Forecast Date]]-7</f>
        <v>44445</v>
      </c>
      <c r="E144" s="55">
        <v>44452</v>
      </c>
      <c r="F144" s="35" t="s">
        <v>618</v>
      </c>
      <c r="G144" s="43" t="str">
        <f>IF(COUNT(systemtable[[#This Row],[RFI Issued Date]:[PL Received
Date]])=3,"OK","")</f>
        <v/>
      </c>
      <c r="H144" s="44" t="str">
        <f>IF(systemtable[[#This Row],[REJECTED]]&gt;0,"Status5","status"&amp;COUNT(systemtable[[#This Row],[RFI Issued Date]:[PL Received
Date]])+1)</f>
        <v>status1</v>
      </c>
      <c r="I144" s="45"/>
      <c r="J144" s="45"/>
      <c r="K144" s="45"/>
      <c r="L144" s="46"/>
    </row>
    <row r="145" spans="1:12">
      <c r="A145" s="4" t="s">
        <v>490</v>
      </c>
      <c r="B145" s="41" t="s">
        <v>447</v>
      </c>
      <c r="C145" s="55">
        <f>systemtable[[#This Row],[MC Forecast date]]-7</f>
        <v>44438</v>
      </c>
      <c r="D145" s="51">
        <f>systemtable[[#This Row],[Commissioning Forecast Date]]-7</f>
        <v>44445</v>
      </c>
      <c r="E145" s="55">
        <v>44452</v>
      </c>
      <c r="F145" s="35" t="s">
        <v>618</v>
      </c>
      <c r="G145" s="43" t="str">
        <f>IF(COUNT(systemtable[[#This Row],[RFI Issued Date]:[PL Received
Date]])=3,"OK","")</f>
        <v/>
      </c>
      <c r="H145" s="44" t="str">
        <f>IF(systemtable[[#This Row],[REJECTED]]&gt;0,"Status5","status"&amp;COUNT(systemtable[[#This Row],[RFI Issued Date]:[PL Received
Date]])+1)</f>
        <v>status1</v>
      </c>
      <c r="I145" s="45"/>
      <c r="J145" s="45"/>
      <c r="K145" s="45"/>
      <c r="L145" s="46"/>
    </row>
    <row r="146" spans="1:12">
      <c r="A146" s="4" t="s">
        <v>498</v>
      </c>
      <c r="B146" s="35" t="s">
        <v>416</v>
      </c>
      <c r="C146" s="55">
        <f>systemtable[[#This Row],[MC Forecast date]]-7</f>
        <v>44438</v>
      </c>
      <c r="D146" s="51">
        <f>systemtable[[#This Row],[Commissioning Forecast Date]]-7</f>
        <v>44445</v>
      </c>
      <c r="E146" s="55">
        <v>44452</v>
      </c>
      <c r="F146" s="35" t="s">
        <v>618</v>
      </c>
      <c r="G146" s="43" t="str">
        <f>IF(COUNT(systemtable[[#This Row],[RFI Issued Date]:[PL Received
Date]])=3,"OK","")</f>
        <v/>
      </c>
      <c r="H146" s="44" t="str">
        <f>IF(systemtable[[#This Row],[REJECTED]]&gt;0,"Status5","status"&amp;COUNT(systemtable[[#This Row],[RFI Issued Date]:[PL Received
Date]])+1)</f>
        <v>status1</v>
      </c>
      <c r="I146" s="45"/>
      <c r="J146" s="45"/>
      <c r="K146" s="45"/>
      <c r="L146" s="46"/>
    </row>
    <row r="147" spans="1:12">
      <c r="A147" s="4" t="s">
        <v>488</v>
      </c>
      <c r="B147" s="41" t="s">
        <v>487</v>
      </c>
      <c r="C147" s="55">
        <f>systemtable[[#This Row],[MC Forecast date]]-7</f>
        <v>44438</v>
      </c>
      <c r="D147" s="51">
        <f>systemtable[[#This Row],[Commissioning Forecast Date]]-7</f>
        <v>44445</v>
      </c>
      <c r="E147" s="55">
        <v>44452</v>
      </c>
      <c r="F147" s="35" t="s">
        <v>618</v>
      </c>
      <c r="G147" s="43" t="str">
        <f>IF(COUNT(systemtable[[#This Row],[RFI Issued Date]:[PL Received
Date]])=3,"OK","")</f>
        <v/>
      </c>
      <c r="H147" s="44" t="str">
        <f>IF(systemtable[[#This Row],[REJECTED]]&gt;0,"Status5","status"&amp;COUNT(systemtable[[#This Row],[RFI Issued Date]:[PL Received
Date]])+1)</f>
        <v>status1</v>
      </c>
      <c r="I147" s="45"/>
      <c r="J147" s="45"/>
      <c r="K147" s="45"/>
      <c r="L147" s="46"/>
    </row>
    <row r="148" spans="1:12">
      <c r="A148" s="4" t="s">
        <v>515</v>
      </c>
      <c r="B148" s="35" t="s">
        <v>452</v>
      </c>
      <c r="C148" s="55">
        <f>systemtable[[#This Row],[MC Forecast date]]-7</f>
        <v>44438</v>
      </c>
      <c r="D148" s="51">
        <f>systemtable[[#This Row],[Commissioning Forecast Date]]-7</f>
        <v>44445</v>
      </c>
      <c r="E148" s="55">
        <v>44452</v>
      </c>
      <c r="F148" s="35" t="s">
        <v>618</v>
      </c>
      <c r="G148" s="43" t="str">
        <f>IF(COUNT(systemtable[[#This Row],[RFI Issued Date]:[PL Received
Date]])=3,"OK","")</f>
        <v/>
      </c>
      <c r="H148" s="44" t="str">
        <f>IF(systemtable[[#This Row],[REJECTED]]&gt;0,"Status5","status"&amp;COUNT(systemtable[[#This Row],[RFI Issued Date]:[PL Received
Date]])+1)</f>
        <v>status1</v>
      </c>
      <c r="I148" s="45"/>
      <c r="J148" s="45"/>
      <c r="K148" s="45"/>
      <c r="L148" s="46"/>
    </row>
    <row r="149" spans="1:12">
      <c r="A149" s="4" t="s">
        <v>499</v>
      </c>
      <c r="B149" s="41" t="s">
        <v>418</v>
      </c>
      <c r="C149" s="55">
        <f>systemtable[[#This Row],[MC Forecast date]]-7</f>
        <v>44438</v>
      </c>
      <c r="D149" s="51">
        <f>systemtable[[#This Row],[Commissioning Forecast Date]]-7</f>
        <v>44445</v>
      </c>
      <c r="E149" s="55">
        <v>44452</v>
      </c>
      <c r="F149" s="35" t="s">
        <v>618</v>
      </c>
      <c r="G149" s="43" t="str">
        <f>IF(COUNT(systemtable[[#This Row],[RFI Issued Date]:[PL Received
Date]])=3,"OK","")</f>
        <v/>
      </c>
      <c r="H149" s="44" t="str">
        <f>IF(systemtable[[#This Row],[REJECTED]]&gt;0,"Status5","status"&amp;COUNT(systemtable[[#This Row],[RFI Issued Date]:[PL Received
Date]])+1)</f>
        <v>status1</v>
      </c>
      <c r="I149" s="45"/>
      <c r="J149" s="45"/>
      <c r="K149" s="45"/>
      <c r="L149" s="46"/>
    </row>
    <row r="150" spans="1:12">
      <c r="A150" s="4" t="s">
        <v>500</v>
      </c>
      <c r="B150" s="41" t="s">
        <v>420</v>
      </c>
      <c r="C150" s="55">
        <f>systemtable[[#This Row],[MC Forecast date]]-7</f>
        <v>44438</v>
      </c>
      <c r="D150" s="51">
        <f>systemtable[[#This Row],[Commissioning Forecast Date]]-7</f>
        <v>44445</v>
      </c>
      <c r="E150" s="55">
        <v>44452</v>
      </c>
      <c r="F150" s="35" t="s">
        <v>618</v>
      </c>
      <c r="G150" s="43" t="str">
        <f>IF(COUNT(systemtable[[#This Row],[RFI Issued Date]:[PL Received
Date]])=3,"OK","")</f>
        <v/>
      </c>
      <c r="H150" s="44" t="str">
        <f>IF(systemtable[[#This Row],[REJECTED]]&gt;0,"Status5","status"&amp;COUNT(systemtable[[#This Row],[RFI Issued Date]:[PL Received
Date]])+1)</f>
        <v>status1</v>
      </c>
      <c r="I150" s="45"/>
      <c r="J150" s="45"/>
      <c r="K150" s="45"/>
      <c r="L150" s="46"/>
    </row>
    <row r="151" spans="1:12">
      <c r="A151" s="4" t="s">
        <v>494</v>
      </c>
      <c r="B151" s="41" t="s">
        <v>493</v>
      </c>
      <c r="C151" s="55">
        <f>systemtable[[#This Row],[MC Forecast date]]-7</f>
        <v>44438</v>
      </c>
      <c r="D151" s="51">
        <f>systemtable[[#This Row],[Commissioning Forecast Date]]-7</f>
        <v>44445</v>
      </c>
      <c r="E151" s="55">
        <v>44452</v>
      </c>
      <c r="F151" s="35" t="s">
        <v>618</v>
      </c>
      <c r="G151" s="43" t="str">
        <f>IF(COUNT(systemtable[[#This Row],[RFI Issued Date]:[PL Received
Date]])=3,"OK","")</f>
        <v/>
      </c>
      <c r="H151" s="44" t="str">
        <f>IF(systemtable[[#This Row],[REJECTED]]&gt;0,"Status5","status"&amp;COUNT(systemtable[[#This Row],[RFI Issued Date]:[PL Received
Date]])+1)</f>
        <v>status1</v>
      </c>
      <c r="I151" s="45"/>
      <c r="J151" s="45"/>
      <c r="K151" s="45"/>
      <c r="L151" s="46"/>
    </row>
    <row r="152" spans="1:12">
      <c r="A152" s="4" t="s">
        <v>502</v>
      </c>
      <c r="B152" s="41" t="s">
        <v>501</v>
      </c>
      <c r="C152" s="55">
        <f>systemtable[[#This Row],[MC Forecast date]]-7</f>
        <v>44438</v>
      </c>
      <c r="D152" s="51">
        <f>systemtable[[#This Row],[Commissioning Forecast Date]]-7</f>
        <v>44445</v>
      </c>
      <c r="E152" s="55">
        <v>44452</v>
      </c>
      <c r="F152" s="35" t="s">
        <v>618</v>
      </c>
      <c r="G152" s="43" t="str">
        <f>IF(COUNT(systemtable[[#This Row],[RFI Issued Date]:[PL Received
Date]])=3,"OK","")</f>
        <v/>
      </c>
      <c r="H152" s="44" t="str">
        <f>IF(systemtable[[#This Row],[REJECTED]]&gt;0,"Status5","status"&amp;COUNT(systemtable[[#This Row],[RFI Issued Date]:[PL Received
Date]])+1)</f>
        <v>status1</v>
      </c>
      <c r="I152" s="45"/>
      <c r="J152" s="45"/>
      <c r="K152" s="45"/>
      <c r="L152" s="46"/>
    </row>
    <row r="153" spans="1:12">
      <c r="A153" s="4" t="s">
        <v>509</v>
      </c>
      <c r="B153" s="35" t="s">
        <v>449</v>
      </c>
      <c r="C153" s="55">
        <f>systemtable[[#This Row],[MC Forecast date]]-7</f>
        <v>44438</v>
      </c>
      <c r="D153" s="51">
        <f>systemtable[[#This Row],[Commissioning Forecast Date]]-7</f>
        <v>44445</v>
      </c>
      <c r="E153" s="55">
        <v>44452</v>
      </c>
      <c r="F153" s="35" t="s">
        <v>618</v>
      </c>
      <c r="G153" s="43" t="str">
        <f>IF(COUNT(systemtable[[#This Row],[RFI Issued Date]:[PL Received
Date]])=3,"OK","")</f>
        <v/>
      </c>
      <c r="H153" s="44" t="str">
        <f>IF(systemtable[[#This Row],[REJECTED]]&gt;0,"Status5","status"&amp;COUNT(systemtable[[#This Row],[RFI Issued Date]:[PL Received
Date]])+1)</f>
        <v>status1</v>
      </c>
      <c r="I153" s="45"/>
      <c r="J153" s="45"/>
      <c r="K153" s="45"/>
      <c r="L153" s="46"/>
    </row>
    <row r="154" spans="1:12">
      <c r="A154" s="4" t="s">
        <v>492</v>
      </c>
      <c r="B154" s="41" t="s">
        <v>491</v>
      </c>
      <c r="C154" s="55">
        <f>systemtable[[#This Row],[MC Forecast date]]-7</f>
        <v>44438</v>
      </c>
      <c r="D154" s="51">
        <f>systemtable[[#This Row],[Commissioning Forecast Date]]-7</f>
        <v>44445</v>
      </c>
      <c r="E154" s="55">
        <v>44452</v>
      </c>
      <c r="F154" s="35" t="s">
        <v>618</v>
      </c>
      <c r="G154" s="43" t="str">
        <f>IF(COUNT(systemtable[[#This Row],[RFI Issued Date]:[PL Received
Date]])=3,"OK","")</f>
        <v/>
      </c>
      <c r="H154" s="44" t="str">
        <f>IF(systemtable[[#This Row],[REJECTED]]&gt;0,"Status5","status"&amp;COUNT(systemtable[[#This Row],[RFI Issued Date]:[PL Received
Date]])+1)</f>
        <v>status1</v>
      </c>
      <c r="I154" s="45"/>
      <c r="J154" s="45"/>
      <c r="K154" s="45"/>
      <c r="L154" s="46"/>
    </row>
    <row r="155" spans="1:12">
      <c r="A155" s="4" t="s">
        <v>508</v>
      </c>
      <c r="B155" s="35" t="s">
        <v>507</v>
      </c>
      <c r="C155" s="55">
        <f>systemtable[[#This Row],[MC Forecast date]]-7</f>
        <v>44438</v>
      </c>
      <c r="D155" s="51">
        <f>systemtable[[#This Row],[Commissioning Forecast Date]]-7</f>
        <v>44445</v>
      </c>
      <c r="E155" s="55">
        <v>44452</v>
      </c>
      <c r="F155" s="35" t="s">
        <v>618</v>
      </c>
      <c r="G155" s="43" t="str">
        <f>IF(COUNT(systemtable[[#This Row],[RFI Issued Date]:[PL Received
Date]])=3,"OK","")</f>
        <v/>
      </c>
      <c r="H155" s="44" t="str">
        <f>IF(systemtable[[#This Row],[REJECTED]]&gt;0,"Status5","status"&amp;COUNT(systemtable[[#This Row],[RFI Issued Date]:[PL Received
Date]])+1)</f>
        <v>status1</v>
      </c>
      <c r="I155" s="45"/>
      <c r="J155" s="45"/>
      <c r="K155" s="45"/>
      <c r="L155" s="46"/>
    </row>
    <row r="156" spans="1:12">
      <c r="A156" s="4" t="s">
        <v>495</v>
      </c>
      <c r="B156" s="41" t="s">
        <v>642</v>
      </c>
      <c r="C156" s="55">
        <f>systemtable[[#This Row],[MC Forecast date]]-7</f>
        <v>44438</v>
      </c>
      <c r="D156" s="51">
        <f>systemtable[[#This Row],[Commissioning Forecast Date]]-7</f>
        <v>44445</v>
      </c>
      <c r="E156" s="55">
        <v>44452</v>
      </c>
      <c r="F156" s="35" t="s">
        <v>618</v>
      </c>
      <c r="G156" s="43" t="str">
        <f>IF(COUNT(systemtable[[#This Row],[RFI Issued Date]:[PL Received
Date]])=3,"OK","")</f>
        <v/>
      </c>
      <c r="H156" s="44" t="str">
        <f>IF(systemtable[[#This Row],[REJECTED]]&gt;0,"Status5","status"&amp;COUNT(systemtable[[#This Row],[RFI Issued Date]:[PL Received
Date]])+1)</f>
        <v>status1</v>
      </c>
      <c r="I156" s="45"/>
      <c r="J156" s="45"/>
      <c r="K156" s="45"/>
      <c r="L156" s="46"/>
    </row>
    <row r="157" spans="1:12">
      <c r="A157" s="4" t="s">
        <v>496</v>
      </c>
      <c r="B157" s="41" t="s">
        <v>652</v>
      </c>
      <c r="C157" s="55">
        <f>systemtable[[#This Row],[MC Forecast date]]-7</f>
        <v>44438</v>
      </c>
      <c r="D157" s="51">
        <f>systemtable[[#This Row],[Commissioning Forecast Date]]-7</f>
        <v>44445</v>
      </c>
      <c r="E157" s="55">
        <v>44452</v>
      </c>
      <c r="F157" s="35" t="s">
        <v>618</v>
      </c>
      <c r="G157" s="43" t="str">
        <f>IF(COUNT(systemtable[[#This Row],[RFI Issued Date]:[PL Received
Date]])=3,"OK","")</f>
        <v/>
      </c>
      <c r="H157" s="44" t="str">
        <f>IF(systemtable[[#This Row],[REJECTED]]&gt;0,"Status5","status"&amp;COUNT(systemtable[[#This Row],[RFI Issued Date]:[PL Received
Date]])+1)</f>
        <v>status1</v>
      </c>
      <c r="I157" s="45"/>
      <c r="J157" s="45"/>
      <c r="K157" s="45"/>
      <c r="L157" s="46"/>
    </row>
    <row r="158" spans="1:12">
      <c r="A158" s="34" t="s">
        <v>504</v>
      </c>
      <c r="B158" s="35" t="s">
        <v>503</v>
      </c>
      <c r="C158" s="55">
        <f>systemtable[[#This Row],[MC Forecast date]]-7</f>
        <v>44438</v>
      </c>
      <c r="D158" s="51">
        <f>systemtable[[#This Row],[Commissioning Forecast Date]]-7</f>
        <v>44445</v>
      </c>
      <c r="E158" s="55">
        <v>44452</v>
      </c>
      <c r="F158" s="35" t="s">
        <v>618</v>
      </c>
      <c r="G158" s="43" t="str">
        <f>IF(COUNT(systemtable[[#This Row],[RFI Issued Date]:[PL Received
Date]])=3,"OK","")</f>
        <v/>
      </c>
      <c r="H158" s="44" t="str">
        <f>IF(systemtable[[#This Row],[REJECTED]]&gt;0,"Status5","status"&amp;COUNT(systemtable[[#This Row],[RFI Issued Date]:[PL Received
Date]])+1)</f>
        <v>status1</v>
      </c>
      <c r="I158" s="45"/>
      <c r="J158" s="45"/>
      <c r="K158" s="45"/>
      <c r="L158" s="46"/>
    </row>
    <row r="159" spans="1:12">
      <c r="A159" s="34" t="s">
        <v>512</v>
      </c>
      <c r="B159" s="35" t="s">
        <v>651</v>
      </c>
      <c r="C159" s="55">
        <f>systemtable[[#This Row],[MC Forecast date]]-7</f>
        <v>44438</v>
      </c>
      <c r="D159" s="51">
        <f>systemtable[[#This Row],[Commissioning Forecast Date]]-7</f>
        <v>44445</v>
      </c>
      <c r="E159" s="55">
        <v>44452</v>
      </c>
      <c r="F159" s="35" t="s">
        <v>618</v>
      </c>
      <c r="G159" s="43" t="str">
        <f>IF(COUNT(systemtable[[#This Row],[RFI Issued Date]:[PL Received
Date]])=3,"OK","")</f>
        <v/>
      </c>
      <c r="H159" s="44" t="str">
        <f>IF(systemtable[[#This Row],[REJECTED]]&gt;0,"Status5","status"&amp;COUNT(systemtable[[#This Row],[RFI Issued Date]:[PL Received
Date]])+1)</f>
        <v>status1</v>
      </c>
      <c r="I159" s="45"/>
      <c r="J159" s="45"/>
      <c r="K159" s="45"/>
      <c r="L159" s="46"/>
    </row>
    <row r="160" spans="1:12">
      <c r="A160" s="4" t="s">
        <v>432</v>
      </c>
      <c r="B160" s="35" t="s">
        <v>431</v>
      </c>
      <c r="C160" s="55">
        <f>systemtable[[#This Row],[MC Forecast date]]-7</f>
        <v>44440</v>
      </c>
      <c r="D160" s="51">
        <f>systemtable[[#This Row],[Commissioning Forecast Date]]-7</f>
        <v>44447</v>
      </c>
      <c r="E160" s="55">
        <v>44454</v>
      </c>
      <c r="F160" s="35" t="s">
        <v>615</v>
      </c>
      <c r="G160" s="43" t="str">
        <f>IF(COUNT(systemtable[[#This Row],[RFI Issued Date]:[PL Received
Date]])=3,"OK","")</f>
        <v/>
      </c>
      <c r="H160" s="44" t="str">
        <f>IF(systemtable[[#This Row],[REJECTED]]&gt;0,"Status5","status"&amp;COUNT(systemtable[[#This Row],[RFI Issued Date]:[PL Received
Date]])+1)</f>
        <v>status1</v>
      </c>
      <c r="I160" s="45"/>
      <c r="J160" s="45"/>
      <c r="K160" s="45"/>
      <c r="L160" s="46"/>
    </row>
    <row r="161" spans="1:12">
      <c r="A161" s="4" t="s">
        <v>437</v>
      </c>
      <c r="B161" s="35" t="s">
        <v>436</v>
      </c>
      <c r="C161" s="55">
        <f>systemtable[[#This Row],[MC Forecast date]]-7</f>
        <v>44440</v>
      </c>
      <c r="D161" s="51">
        <f>systemtable[[#This Row],[Commissioning Forecast Date]]-7</f>
        <v>44447</v>
      </c>
      <c r="E161" s="55">
        <v>44454</v>
      </c>
      <c r="F161" s="35" t="s">
        <v>615</v>
      </c>
      <c r="G161" s="43" t="str">
        <f>IF(COUNT(systemtable[[#This Row],[RFI Issued Date]:[PL Received
Date]])=3,"OK","")</f>
        <v/>
      </c>
      <c r="H161" s="44" t="str">
        <f>IF(systemtable[[#This Row],[REJECTED]]&gt;0,"Status5","status"&amp;COUNT(systemtable[[#This Row],[RFI Issued Date]:[PL Received
Date]])+1)</f>
        <v>status1</v>
      </c>
      <c r="I161" s="45"/>
      <c r="J161" s="45"/>
      <c r="K161" s="45"/>
      <c r="L161" s="46"/>
    </row>
    <row r="162" spans="1:12">
      <c r="A162" s="34" t="s">
        <v>440</v>
      </c>
      <c r="B162" s="35" t="s">
        <v>439</v>
      </c>
      <c r="C162" s="55">
        <f>systemtable[[#This Row],[MC Forecast date]]-7</f>
        <v>44440</v>
      </c>
      <c r="D162" s="51">
        <f>systemtable[[#This Row],[Commissioning Forecast Date]]-7</f>
        <v>44447</v>
      </c>
      <c r="E162" s="55">
        <v>44454</v>
      </c>
      <c r="F162" s="35" t="s">
        <v>615</v>
      </c>
      <c r="G162" s="43" t="str">
        <f>IF(COUNT(systemtable[[#This Row],[RFI Issued Date]:[PL Received
Date]])=3,"OK","")</f>
        <v/>
      </c>
      <c r="H162" s="44" t="str">
        <f>IF(systemtable[[#This Row],[REJECTED]]&gt;0,"Status5","status"&amp;COUNT(systemtable[[#This Row],[RFI Issued Date]:[PL Received
Date]])+1)</f>
        <v>status1</v>
      </c>
      <c r="I162" s="45"/>
      <c r="J162" s="45"/>
      <c r="K162" s="45"/>
      <c r="L162" s="46"/>
    </row>
    <row r="163" spans="1:12">
      <c r="A163" s="4" t="s">
        <v>427</v>
      </c>
      <c r="B163" s="58" t="s">
        <v>373</v>
      </c>
      <c r="C163" s="55">
        <f>systemtable[[#This Row],[MC Forecast date]]-7</f>
        <v>44440</v>
      </c>
      <c r="D163" s="51">
        <f>systemtable[[#This Row],[Commissioning Forecast Date]]-7</f>
        <v>44447</v>
      </c>
      <c r="E163" s="55">
        <v>44454</v>
      </c>
      <c r="F163" s="35" t="s">
        <v>615</v>
      </c>
      <c r="G163" s="43" t="str">
        <f>IF(COUNT(systemtable[[#This Row],[RFI Issued Date]:[PL Received
Date]])=3,"OK","")</f>
        <v/>
      </c>
      <c r="H163" s="44" t="str">
        <f>IF(systemtable[[#This Row],[REJECTED]]&gt;0,"Status5","status"&amp;COUNT(systemtable[[#This Row],[RFI Issued Date]:[PL Received
Date]])+1)</f>
        <v>status1</v>
      </c>
      <c r="I163" s="45"/>
      <c r="J163" s="45"/>
      <c r="K163" s="45"/>
      <c r="L163" s="46"/>
    </row>
    <row r="164" spans="1:12">
      <c r="A164" s="4" t="s">
        <v>455</v>
      </c>
      <c r="B164" s="35" t="s">
        <v>397</v>
      </c>
      <c r="C164" s="55">
        <f>systemtable[[#This Row],[MC Forecast date]]-7</f>
        <v>44440</v>
      </c>
      <c r="D164" s="51">
        <f>systemtable[[#This Row],[Commissioning Forecast Date]]-7</f>
        <v>44447</v>
      </c>
      <c r="E164" s="55">
        <v>44454</v>
      </c>
      <c r="F164" s="35" t="s">
        <v>617</v>
      </c>
      <c r="G164" s="43" t="str">
        <f>IF(COUNT(systemtable[[#This Row],[RFI Issued Date]:[PL Received
Date]])=3,"OK","")</f>
        <v/>
      </c>
      <c r="H164" s="44" t="str">
        <f>IF(systemtable[[#This Row],[REJECTED]]&gt;0,"Status5","status"&amp;COUNT(systemtable[[#This Row],[RFI Issued Date]:[PL Received
Date]])+1)</f>
        <v>status1</v>
      </c>
      <c r="I164" s="45"/>
      <c r="J164" s="45"/>
      <c r="K164" s="45"/>
      <c r="L164" s="46"/>
    </row>
    <row r="165" spans="1:12">
      <c r="A165" s="4" t="s">
        <v>442</v>
      </c>
      <c r="B165" s="35" t="s">
        <v>385</v>
      </c>
      <c r="C165" s="55">
        <f>systemtable[[#This Row],[MC Forecast date]]-7</f>
        <v>44440</v>
      </c>
      <c r="D165" s="51">
        <f>systemtable[[#This Row],[Commissioning Forecast Date]]-7</f>
        <v>44447</v>
      </c>
      <c r="E165" s="55">
        <v>44454</v>
      </c>
      <c r="F165" s="35" t="s">
        <v>615</v>
      </c>
      <c r="G165" s="43" t="str">
        <f>IF(COUNT(systemtable[[#This Row],[RFI Issued Date]:[PL Received
Date]])=3,"OK","")</f>
        <v/>
      </c>
      <c r="H165" s="44" t="str">
        <f>IF(systemtable[[#This Row],[REJECTED]]&gt;0,"Status5","status"&amp;COUNT(systemtable[[#This Row],[RFI Issued Date]:[PL Received
Date]])+1)</f>
        <v>status1</v>
      </c>
      <c r="I165" s="45"/>
      <c r="J165" s="45"/>
      <c r="K165" s="45"/>
      <c r="L165" s="46"/>
    </row>
    <row r="166" spans="1:12">
      <c r="A166" s="4" t="s">
        <v>429</v>
      </c>
      <c r="B166" s="35" t="s">
        <v>378</v>
      </c>
      <c r="C166" s="55">
        <f>systemtable[[#This Row],[MC Forecast date]]-7</f>
        <v>44440</v>
      </c>
      <c r="D166" s="51">
        <f>systemtable[[#This Row],[Commissioning Forecast Date]]-7</f>
        <v>44447</v>
      </c>
      <c r="E166" s="55">
        <v>44454</v>
      </c>
      <c r="F166" s="35" t="s">
        <v>615</v>
      </c>
      <c r="G166" s="43" t="str">
        <f>IF(COUNT(systemtable[[#This Row],[RFI Issued Date]:[PL Received
Date]])=3,"OK","")</f>
        <v/>
      </c>
      <c r="H166" s="44" t="str">
        <f>IF(systemtable[[#This Row],[REJECTED]]&gt;0,"Status5","status"&amp;COUNT(systemtable[[#This Row],[RFI Issued Date]:[PL Received
Date]])+1)</f>
        <v>status1</v>
      </c>
      <c r="I166" s="45"/>
      <c r="J166" s="45"/>
      <c r="K166" s="45"/>
      <c r="L166" s="46"/>
    </row>
    <row r="167" spans="1:12">
      <c r="A167" s="4" t="s">
        <v>434</v>
      </c>
      <c r="B167" s="35" t="s">
        <v>383</v>
      </c>
      <c r="C167" s="55">
        <f>systemtable[[#This Row],[MC Forecast date]]-7</f>
        <v>44440</v>
      </c>
      <c r="D167" s="51">
        <f>systemtable[[#This Row],[Commissioning Forecast Date]]-7</f>
        <v>44447</v>
      </c>
      <c r="E167" s="55">
        <v>44454</v>
      </c>
      <c r="F167" s="35" t="s">
        <v>615</v>
      </c>
      <c r="G167" s="43" t="str">
        <f>IF(COUNT(systemtable[[#This Row],[RFI Issued Date]:[PL Received
Date]])=3,"OK","")</f>
        <v/>
      </c>
      <c r="H167" s="44" t="str">
        <f>IF(systemtable[[#This Row],[REJECTED]]&gt;0,"Status5","status"&amp;COUNT(systemtable[[#This Row],[RFI Issued Date]:[PL Received
Date]])+1)</f>
        <v>status1</v>
      </c>
      <c r="I167" s="45"/>
      <c r="J167" s="45"/>
      <c r="K167" s="45"/>
      <c r="L167" s="46"/>
    </row>
    <row r="168" spans="1:12">
      <c r="A168" s="4" t="s">
        <v>425</v>
      </c>
      <c r="B168" s="35" t="s">
        <v>380</v>
      </c>
      <c r="C168" s="55">
        <f>systemtable[[#This Row],[MC Forecast date]]-7</f>
        <v>44440</v>
      </c>
      <c r="D168" s="51">
        <f>systemtable[[#This Row],[Commissioning Forecast Date]]-7</f>
        <v>44447</v>
      </c>
      <c r="E168" s="55">
        <v>44454</v>
      </c>
      <c r="F168" s="35" t="s">
        <v>615</v>
      </c>
      <c r="G168" s="43" t="str">
        <f>IF(COUNT(systemtable[[#This Row],[RFI Issued Date]:[PL Received
Date]])=3,"OK","")</f>
        <v/>
      </c>
      <c r="H168" s="44" t="str">
        <f>IF(systemtable[[#This Row],[REJECTED]]&gt;0,"Status5","status"&amp;COUNT(systemtable[[#This Row],[RFI Issued Date]:[PL Received
Date]])+1)</f>
        <v>status1</v>
      </c>
      <c r="I168" s="45"/>
      <c r="J168" s="45"/>
      <c r="K168" s="45"/>
      <c r="L168" s="46"/>
    </row>
    <row r="169" spans="1:12">
      <c r="A169" s="4" t="s">
        <v>306</v>
      </c>
      <c r="B169" s="58" t="s">
        <v>166</v>
      </c>
      <c r="C169" s="55">
        <f>systemtable[[#This Row],[MC Forecast date]]-7</f>
        <v>44445</v>
      </c>
      <c r="D169" s="51">
        <f>systemtable[[#This Row],[Commissioning Forecast Date]]-7</f>
        <v>44452</v>
      </c>
      <c r="E169" s="55">
        <v>44459</v>
      </c>
      <c r="F169" s="35" t="s">
        <v>592</v>
      </c>
      <c r="G169" s="43" t="str">
        <f>IF(COUNT(systemtable[[#This Row],[RFI Issued Date]:[PL Received
Date]])=3,"OK","")</f>
        <v/>
      </c>
      <c r="H169" s="44" t="str">
        <f>IF(systemtable[[#This Row],[REJECTED]]&gt;0,"Status5","status"&amp;COUNT(systemtable[[#This Row],[RFI Issued Date]:[PL Received
Date]])+1)</f>
        <v>status1</v>
      </c>
      <c r="I169" s="45"/>
      <c r="J169" s="45"/>
      <c r="K169" s="45"/>
      <c r="L169" s="46"/>
    </row>
    <row r="170" spans="1:12">
      <c r="A170" s="4" t="s">
        <v>308</v>
      </c>
      <c r="B170" s="35" t="s">
        <v>307</v>
      </c>
      <c r="C170" s="55">
        <f>systemtable[[#This Row],[MC Forecast date]]-7</f>
        <v>44445</v>
      </c>
      <c r="D170" s="51">
        <f>systemtable[[#This Row],[Commissioning Forecast Date]]-7</f>
        <v>44452</v>
      </c>
      <c r="E170" s="55">
        <v>44459</v>
      </c>
      <c r="F170" s="35" t="s">
        <v>592</v>
      </c>
      <c r="G170" s="43" t="str">
        <f>IF(COUNT(systemtable[[#This Row],[RFI Issued Date]:[PL Received
Date]])=3,"OK","")</f>
        <v/>
      </c>
      <c r="H170" s="44" t="str">
        <f>IF(systemtable[[#This Row],[REJECTED]]&gt;0,"Status5","status"&amp;COUNT(systemtable[[#This Row],[RFI Issued Date]:[PL Received
Date]])+1)</f>
        <v>status1</v>
      </c>
      <c r="I170" s="45"/>
      <c r="J170" s="45"/>
      <c r="K170" s="45"/>
      <c r="L170" s="46"/>
    </row>
    <row r="171" spans="1:12">
      <c r="A171" s="4" t="s">
        <v>545</v>
      </c>
      <c r="B171" s="35" t="s">
        <v>460</v>
      </c>
      <c r="C171" s="55">
        <f>systemtable[[#This Row],[MC Forecast date]]-7</f>
        <v>44448</v>
      </c>
      <c r="D171" s="51">
        <f>systemtable[[#This Row],[Commissioning Forecast Date]]-7</f>
        <v>44455</v>
      </c>
      <c r="E171" s="55">
        <v>44462</v>
      </c>
      <c r="F171" s="35" t="s">
        <v>619</v>
      </c>
      <c r="G171" s="43" t="str">
        <f>IF(COUNT(systemtable[[#This Row],[RFI Issued Date]:[PL Received
Date]])=3,"OK","")</f>
        <v/>
      </c>
      <c r="H171" s="44" t="str">
        <f>IF(systemtable[[#This Row],[REJECTED]]&gt;0,"Status5","status"&amp;COUNT(systemtable[[#This Row],[RFI Issued Date]:[PL Received
Date]])+1)</f>
        <v>status1</v>
      </c>
      <c r="I171" s="45"/>
      <c r="J171" s="45"/>
      <c r="K171" s="45"/>
      <c r="L171" s="46"/>
    </row>
    <row r="172" spans="1:12">
      <c r="A172" s="4" t="s">
        <v>542</v>
      </c>
      <c r="B172" s="35" t="s">
        <v>541</v>
      </c>
      <c r="C172" s="55">
        <f>systemtable[[#This Row],[MC Forecast date]]-7</f>
        <v>44448</v>
      </c>
      <c r="D172" s="51">
        <f>systemtable[[#This Row],[Commissioning Forecast Date]]-7</f>
        <v>44455</v>
      </c>
      <c r="E172" s="55">
        <v>44462</v>
      </c>
      <c r="F172" s="35" t="s">
        <v>619</v>
      </c>
      <c r="G172" s="43" t="str">
        <f>IF(COUNT(systemtable[[#This Row],[RFI Issued Date]:[PL Received
Date]])=3,"OK","")</f>
        <v/>
      </c>
      <c r="H172" s="44" t="str">
        <f>IF(systemtable[[#This Row],[REJECTED]]&gt;0,"Status5","status"&amp;COUNT(systemtable[[#This Row],[RFI Issued Date]:[PL Received
Date]])+1)</f>
        <v>status1</v>
      </c>
      <c r="I172" s="45"/>
      <c r="J172" s="45"/>
      <c r="K172" s="45"/>
      <c r="L172" s="46"/>
    </row>
    <row r="173" spans="1:12">
      <c r="A173" s="4" t="s">
        <v>547</v>
      </c>
      <c r="B173" s="35" t="s">
        <v>546</v>
      </c>
      <c r="C173" s="55">
        <f>systemtable[[#This Row],[MC Forecast date]]-7</f>
        <v>44448</v>
      </c>
      <c r="D173" s="51">
        <f>systemtable[[#This Row],[Commissioning Forecast Date]]-7</f>
        <v>44455</v>
      </c>
      <c r="E173" s="55">
        <v>44462</v>
      </c>
      <c r="F173" s="35" t="s">
        <v>619</v>
      </c>
      <c r="G173" s="43" t="str">
        <f>IF(COUNT(systemtable[[#This Row],[RFI Issued Date]:[PL Received
Date]])=3,"OK","")</f>
        <v/>
      </c>
      <c r="H173" s="44" t="str">
        <f>IF(systemtable[[#This Row],[REJECTED]]&gt;0,"Status5","status"&amp;COUNT(systemtable[[#This Row],[RFI Issued Date]:[PL Received
Date]])+1)</f>
        <v>status1</v>
      </c>
      <c r="I173" s="45"/>
      <c r="J173" s="45"/>
      <c r="K173" s="45"/>
      <c r="L173" s="46"/>
    </row>
    <row r="174" spans="1:12">
      <c r="A174" s="4" t="s">
        <v>544</v>
      </c>
      <c r="B174" s="35" t="s">
        <v>543</v>
      </c>
      <c r="C174" s="55">
        <f>systemtable[[#This Row],[MC Forecast date]]-7</f>
        <v>44448</v>
      </c>
      <c r="D174" s="51">
        <f>systemtable[[#This Row],[Commissioning Forecast Date]]-7</f>
        <v>44455</v>
      </c>
      <c r="E174" s="55">
        <v>44462</v>
      </c>
      <c r="F174" s="35" t="s">
        <v>619</v>
      </c>
      <c r="G174" s="43" t="str">
        <f>IF(COUNT(systemtable[[#This Row],[RFI Issued Date]:[PL Received
Date]])=3,"OK","")</f>
        <v/>
      </c>
      <c r="H174" s="44" t="str">
        <f>IF(systemtable[[#This Row],[REJECTED]]&gt;0,"Status5","status"&amp;COUNT(systemtable[[#This Row],[RFI Issued Date]:[PL Received
Date]])+1)</f>
        <v>status1</v>
      </c>
      <c r="I174" s="45"/>
      <c r="J174" s="45"/>
      <c r="K174" s="45"/>
      <c r="L174" s="46"/>
    </row>
    <row r="175" spans="1:12">
      <c r="A175" s="4" t="s">
        <v>549</v>
      </c>
      <c r="B175" s="35" t="s">
        <v>548</v>
      </c>
      <c r="C175" s="55">
        <f>systemtable[[#This Row],[MC Forecast date]]-7</f>
        <v>44448</v>
      </c>
      <c r="D175" s="51">
        <f>systemtable[[#This Row],[Commissioning Forecast Date]]-7</f>
        <v>44455</v>
      </c>
      <c r="E175" s="55">
        <v>44462</v>
      </c>
      <c r="F175" s="35" t="s">
        <v>619</v>
      </c>
      <c r="G175" s="43" t="str">
        <f>IF(COUNT(systemtable[[#This Row],[RFI Issued Date]:[PL Received
Date]])=3,"OK","")</f>
        <v/>
      </c>
      <c r="H175" s="44" t="str">
        <f>IF(systemtable[[#This Row],[REJECTED]]&gt;0,"Status5","status"&amp;COUNT(systemtable[[#This Row],[RFI Issued Date]:[PL Received
Date]])+1)</f>
        <v>status1</v>
      </c>
      <c r="I175" s="45"/>
      <c r="J175" s="45"/>
      <c r="K175" s="45"/>
      <c r="L175" s="46"/>
    </row>
    <row r="176" spans="1:12">
      <c r="A176" s="4" t="s">
        <v>551</v>
      </c>
      <c r="B176" s="35" t="s">
        <v>550</v>
      </c>
      <c r="C176" s="55">
        <f>systemtable[[#This Row],[MC Forecast date]]-7</f>
        <v>44448</v>
      </c>
      <c r="D176" s="51">
        <f>systemtable[[#This Row],[Commissioning Forecast Date]]-7</f>
        <v>44455</v>
      </c>
      <c r="E176" s="55">
        <v>44462</v>
      </c>
      <c r="F176" s="35" t="s">
        <v>619</v>
      </c>
      <c r="G176" s="43" t="str">
        <f>IF(COUNT(systemtable[[#This Row],[RFI Issued Date]:[PL Received
Date]])=3,"OK","")</f>
        <v/>
      </c>
      <c r="H176" s="44" t="str">
        <f>IF(systemtable[[#This Row],[REJECTED]]&gt;0,"Status5","status"&amp;COUNT(systemtable[[#This Row],[RFI Issued Date]:[PL Received
Date]])+1)</f>
        <v>status1</v>
      </c>
      <c r="I176" s="45"/>
      <c r="J176" s="45"/>
      <c r="K176" s="45"/>
      <c r="L176" s="46"/>
    </row>
    <row r="177" spans="1:12">
      <c r="A177" s="4" t="s">
        <v>540</v>
      </c>
      <c r="B177" s="35" t="s">
        <v>539</v>
      </c>
      <c r="C177" s="55">
        <f>systemtable[[#This Row],[MC Forecast date]]-7</f>
        <v>44448</v>
      </c>
      <c r="D177" s="51">
        <f>systemtable[[#This Row],[Commissioning Forecast Date]]-7</f>
        <v>44455</v>
      </c>
      <c r="E177" s="55">
        <v>44462</v>
      </c>
      <c r="F177" s="35" t="s">
        <v>619</v>
      </c>
      <c r="G177" s="43" t="str">
        <f>IF(COUNT(systemtable[[#This Row],[RFI Issued Date]:[PL Received
Date]])=3,"OK","")</f>
        <v/>
      </c>
      <c r="H177" s="44" t="str">
        <f>IF(systemtable[[#This Row],[REJECTED]]&gt;0,"Status5","status"&amp;COUNT(systemtable[[#This Row],[RFI Issued Date]:[PL Received
Date]])+1)</f>
        <v>status1</v>
      </c>
      <c r="I177" s="45"/>
      <c r="J177" s="45"/>
      <c r="K177" s="45"/>
      <c r="L177" s="46"/>
    </row>
    <row r="178" spans="1:12">
      <c r="A178" s="4" t="s">
        <v>553</v>
      </c>
      <c r="B178" s="35" t="s">
        <v>552</v>
      </c>
      <c r="C178" s="55">
        <f>systemtable[[#This Row],[MC Forecast date]]-7</f>
        <v>44448</v>
      </c>
      <c r="D178" s="51">
        <f>systemtable[[#This Row],[Commissioning Forecast Date]]-7</f>
        <v>44455</v>
      </c>
      <c r="E178" s="55">
        <v>44462</v>
      </c>
      <c r="F178" s="35" t="s">
        <v>619</v>
      </c>
      <c r="G178" s="43" t="str">
        <f>IF(COUNT(systemtable[[#This Row],[RFI Issued Date]:[PL Received
Date]])=3,"OK","")</f>
        <v/>
      </c>
      <c r="H178" s="44" t="str">
        <f>IF(systemtable[[#This Row],[REJECTED]]&gt;0,"Status5","status"&amp;COUNT(systemtable[[#This Row],[RFI Issued Date]:[PL Received
Date]])+1)</f>
        <v>status1</v>
      </c>
      <c r="I178" s="45"/>
      <c r="J178" s="45"/>
      <c r="K178" s="45"/>
      <c r="L178" s="46"/>
    </row>
    <row r="179" spans="1:12">
      <c r="A179" s="4" t="s">
        <v>555</v>
      </c>
      <c r="B179" s="35" t="s">
        <v>554</v>
      </c>
      <c r="C179" s="55">
        <f>systemtable[[#This Row],[MC Forecast date]]-7</f>
        <v>44448</v>
      </c>
      <c r="D179" s="51">
        <f>systemtable[[#This Row],[Commissioning Forecast Date]]-7</f>
        <v>44455</v>
      </c>
      <c r="E179" s="55">
        <v>44462</v>
      </c>
      <c r="F179" s="35" t="s">
        <v>619</v>
      </c>
      <c r="G179" s="43" t="str">
        <f>IF(COUNT(systemtable[[#This Row],[RFI Issued Date]:[PL Received
Date]])=3,"OK","")</f>
        <v/>
      </c>
      <c r="H179" s="44" t="str">
        <f>IF(systemtable[[#This Row],[REJECTED]]&gt;0,"Status5","status"&amp;COUNT(systemtable[[#This Row],[RFI Issued Date]:[PL Received
Date]])+1)</f>
        <v>status1</v>
      </c>
      <c r="I179" s="45"/>
      <c r="J179" s="45"/>
      <c r="K179" s="45"/>
      <c r="L179" s="46"/>
    </row>
    <row r="180" spans="1:12">
      <c r="A180" s="4" t="s">
        <v>557</v>
      </c>
      <c r="B180" s="35" t="s">
        <v>556</v>
      </c>
      <c r="C180" s="55">
        <f>systemtable[[#This Row],[MC Forecast date]]-7</f>
        <v>44448</v>
      </c>
      <c r="D180" s="51">
        <f>systemtable[[#This Row],[Commissioning Forecast Date]]-7</f>
        <v>44455</v>
      </c>
      <c r="E180" s="55">
        <v>44462</v>
      </c>
      <c r="F180" s="35" t="s">
        <v>619</v>
      </c>
      <c r="G180" s="43" t="str">
        <f>IF(COUNT(systemtable[[#This Row],[RFI Issued Date]:[PL Received
Date]])=3,"OK","")</f>
        <v/>
      </c>
      <c r="H180" s="44" t="str">
        <f>IF(systemtable[[#This Row],[REJECTED]]&gt;0,"Status5","status"&amp;COUNT(systemtable[[#This Row],[RFI Issued Date]:[PL Received
Date]])+1)</f>
        <v>status1</v>
      </c>
      <c r="I180" s="45"/>
      <c r="J180" s="45"/>
      <c r="K180" s="45"/>
      <c r="L180" s="46"/>
    </row>
    <row r="181" spans="1:12">
      <c r="A181" s="4" t="s">
        <v>559</v>
      </c>
      <c r="B181" s="35" t="s">
        <v>558</v>
      </c>
      <c r="C181" s="55">
        <f>systemtable[[#This Row],[MC Forecast date]]-7</f>
        <v>44448</v>
      </c>
      <c r="D181" s="51">
        <f>systemtable[[#This Row],[Commissioning Forecast Date]]-7</f>
        <v>44455</v>
      </c>
      <c r="E181" s="55">
        <v>44462</v>
      </c>
      <c r="F181" s="35" t="s">
        <v>619</v>
      </c>
      <c r="G181" s="43" t="str">
        <f>IF(COUNT(systemtable[[#This Row],[RFI Issued Date]:[PL Received
Date]])=3,"OK","")</f>
        <v/>
      </c>
      <c r="H181" s="44" t="str">
        <f>IF(systemtable[[#This Row],[REJECTED]]&gt;0,"Status5","status"&amp;COUNT(systemtable[[#This Row],[RFI Issued Date]:[PL Received
Date]])+1)</f>
        <v>status1</v>
      </c>
      <c r="I181" s="45"/>
      <c r="J181" s="45"/>
      <c r="K181" s="45"/>
      <c r="L181" s="46"/>
    </row>
    <row r="182" spans="1:12">
      <c r="A182" s="4" t="s">
        <v>537</v>
      </c>
      <c r="B182" s="35" t="s">
        <v>633</v>
      </c>
      <c r="C182" s="55">
        <f>systemtable[[#This Row],[MC Forecast date]]-7</f>
        <v>44448</v>
      </c>
      <c r="D182" s="51">
        <f>systemtable[[#This Row],[Commissioning Forecast Date]]-7</f>
        <v>44455</v>
      </c>
      <c r="E182" s="55">
        <v>44462</v>
      </c>
      <c r="F182" s="35" t="s">
        <v>619</v>
      </c>
      <c r="G182" s="43" t="str">
        <f>IF(COUNT(systemtable[[#This Row],[RFI Issued Date]:[PL Received
Date]])=3,"OK","")</f>
        <v/>
      </c>
      <c r="H182" s="44" t="str">
        <f>IF(systemtable[[#This Row],[REJECTED]]&gt;0,"Status5","status"&amp;COUNT(systemtable[[#This Row],[RFI Issued Date]:[PL Received
Date]])+1)</f>
        <v>status1</v>
      </c>
      <c r="I182" s="45"/>
      <c r="J182" s="45"/>
      <c r="K182" s="45"/>
      <c r="L182" s="46"/>
    </row>
    <row r="183" spans="1:12">
      <c r="A183" s="4" t="s">
        <v>535</v>
      </c>
      <c r="B183" s="35" t="s">
        <v>463</v>
      </c>
      <c r="C183" s="55">
        <f>systemtable[[#This Row],[MC Forecast date]]-7</f>
        <v>44448</v>
      </c>
      <c r="D183" s="51">
        <f>systemtable[[#This Row],[Commissioning Forecast Date]]-7</f>
        <v>44455</v>
      </c>
      <c r="E183" s="55">
        <v>44462</v>
      </c>
      <c r="F183" s="35" t="s">
        <v>619</v>
      </c>
      <c r="G183" s="43" t="str">
        <f>IF(COUNT(systemtable[[#This Row],[RFI Issued Date]:[PL Received
Date]])=3,"OK","")</f>
        <v/>
      </c>
      <c r="H183" s="44" t="str">
        <f>IF(systemtable[[#This Row],[REJECTED]]&gt;0,"Status5","status"&amp;COUNT(systemtable[[#This Row],[RFI Issued Date]:[PL Received
Date]])+1)</f>
        <v>status1</v>
      </c>
      <c r="I183" s="45"/>
      <c r="J183" s="45"/>
      <c r="K183" s="45"/>
      <c r="L183" s="46"/>
    </row>
    <row r="184" spans="1:12">
      <c r="A184" s="4" t="s">
        <v>534</v>
      </c>
      <c r="B184" s="35" t="s">
        <v>457</v>
      </c>
      <c r="C184" s="55">
        <f>systemtable[[#This Row],[MC Forecast date]]-7</f>
        <v>44448</v>
      </c>
      <c r="D184" s="51">
        <f>systemtable[[#This Row],[Commissioning Forecast Date]]-7</f>
        <v>44455</v>
      </c>
      <c r="E184" s="55">
        <v>44462</v>
      </c>
      <c r="F184" s="35" t="s">
        <v>619</v>
      </c>
      <c r="G184" s="43" t="str">
        <f>IF(COUNT(systemtable[[#This Row],[RFI Issued Date]:[PL Received
Date]])=3,"OK","")</f>
        <v/>
      </c>
      <c r="H184" s="44" t="str">
        <f>IF(systemtable[[#This Row],[REJECTED]]&gt;0,"Status5","status"&amp;COUNT(systemtable[[#This Row],[RFI Issued Date]:[PL Received
Date]])+1)</f>
        <v>status1</v>
      </c>
      <c r="I184" s="45"/>
      <c r="J184" s="45"/>
      <c r="K184" s="45"/>
      <c r="L184" s="46"/>
    </row>
    <row r="185" spans="1:12">
      <c r="A185" s="4" t="s">
        <v>536</v>
      </c>
      <c r="B185" s="35" t="s">
        <v>465</v>
      </c>
      <c r="C185" s="55">
        <f>systemtable[[#This Row],[MC Forecast date]]-7</f>
        <v>44448</v>
      </c>
      <c r="D185" s="51">
        <f>systemtable[[#This Row],[Commissioning Forecast Date]]-7</f>
        <v>44455</v>
      </c>
      <c r="E185" s="55">
        <v>44462</v>
      </c>
      <c r="F185" s="35" t="s">
        <v>619</v>
      </c>
      <c r="G185" s="43" t="str">
        <f>IF(COUNT(systemtable[[#This Row],[RFI Issued Date]:[PL Received
Date]])=3,"OK","")</f>
        <v/>
      </c>
      <c r="H185" s="44" t="str">
        <f>IF(systemtable[[#This Row],[REJECTED]]&gt;0,"Status5","status"&amp;COUNT(systemtable[[#This Row],[RFI Issued Date]:[PL Received
Date]])+1)</f>
        <v>status1</v>
      </c>
      <c r="I185" s="45"/>
      <c r="J185" s="45"/>
      <c r="K185" s="45"/>
      <c r="L185" s="46"/>
    </row>
    <row r="186" spans="1:12">
      <c r="A186" s="34" t="s">
        <v>649</v>
      </c>
      <c r="B186" s="35" t="s">
        <v>650</v>
      </c>
      <c r="C186" s="55">
        <f>systemtable[[#This Row],[MC Forecast date]]-7</f>
        <v>44448</v>
      </c>
      <c r="D186" s="51">
        <f>systemtable[[#This Row],[Commissioning Forecast Date]]-7</f>
        <v>44455</v>
      </c>
      <c r="E186" s="55">
        <v>44462</v>
      </c>
      <c r="F186" s="35" t="s">
        <v>619</v>
      </c>
      <c r="G186" s="43" t="str">
        <f>IF(COUNT(systemtable[[#This Row],[RFI Issued Date]:[PL Received
Date]])=3,"OK","")</f>
        <v/>
      </c>
      <c r="H186" s="44" t="str">
        <f>IF(systemtable[[#This Row],[REJECTED]]&gt;0,"Status5","status"&amp;COUNT(systemtable[[#This Row],[RFI Issued Date]:[PL Received
Date]])+1)</f>
        <v>status1</v>
      </c>
      <c r="I186" s="45"/>
      <c r="J186" s="45"/>
      <c r="K186" s="45"/>
      <c r="L186" s="46"/>
    </row>
    <row r="187" spans="1:12">
      <c r="A187" s="4" t="s">
        <v>217</v>
      </c>
      <c r="B187" s="58" t="s">
        <v>140</v>
      </c>
      <c r="C187" s="55">
        <f>systemtable[[#This Row],[MC Forecast date]]-7</f>
        <v>44452</v>
      </c>
      <c r="D187" s="51">
        <f>systemtable[[#This Row],[Commissioning Forecast Date]]-7</f>
        <v>44459</v>
      </c>
      <c r="E187" s="55">
        <v>44466</v>
      </c>
      <c r="F187" s="35" t="s">
        <v>583</v>
      </c>
      <c r="G187" s="43" t="str">
        <f>IF(COUNT(systemtable[[#This Row],[RFI Issued Date]:[PL Received
Date]])=3,"OK","")</f>
        <v/>
      </c>
      <c r="H187" s="44" t="str">
        <f>IF(systemtable[[#This Row],[REJECTED]]&gt;0,"Status5","status"&amp;COUNT(systemtable[[#This Row],[RFI Issued Date]:[PL Received
Date]])+1)</f>
        <v>status1</v>
      </c>
      <c r="I187" s="45"/>
      <c r="J187" s="45"/>
      <c r="K187" s="45"/>
      <c r="L187" s="46"/>
    </row>
    <row r="188" spans="1:12">
      <c r="A188" s="4" t="s">
        <v>219</v>
      </c>
      <c r="B188" s="58" t="s">
        <v>139</v>
      </c>
      <c r="C188" s="55">
        <f>systemtable[[#This Row],[MC Forecast date]]-7</f>
        <v>44452</v>
      </c>
      <c r="D188" s="51">
        <f>systemtable[[#This Row],[Commissioning Forecast Date]]-7</f>
        <v>44459</v>
      </c>
      <c r="E188" s="55">
        <v>44466</v>
      </c>
      <c r="F188" s="35" t="s">
        <v>583</v>
      </c>
      <c r="G188" s="43" t="str">
        <f>IF(COUNT(systemtable[[#This Row],[RFI Issued Date]:[PL Received
Date]])=3,"OK","")</f>
        <v/>
      </c>
      <c r="H188" s="44" t="str">
        <f>IF(systemtable[[#This Row],[REJECTED]]&gt;0,"Status5","status"&amp;COUNT(systemtable[[#This Row],[RFI Issued Date]:[PL Received
Date]])+1)</f>
        <v>status1</v>
      </c>
      <c r="I188" s="45"/>
      <c r="J188" s="45"/>
      <c r="K188" s="45"/>
      <c r="L188" s="46"/>
    </row>
    <row r="189" spans="1:12">
      <c r="A189" s="4" t="s">
        <v>221</v>
      </c>
      <c r="B189" s="58" t="s">
        <v>635</v>
      </c>
      <c r="C189" s="55">
        <f>systemtable[[#This Row],[MC Forecast date]]-7</f>
        <v>44452</v>
      </c>
      <c r="D189" s="51">
        <f>systemtable[[#This Row],[Commissioning Forecast Date]]-7</f>
        <v>44459</v>
      </c>
      <c r="E189" s="55">
        <v>44466</v>
      </c>
      <c r="F189" s="35" t="s">
        <v>583</v>
      </c>
      <c r="G189" s="43" t="str">
        <f>IF(COUNT(systemtable[[#This Row],[RFI Issued Date]:[PL Received
Date]])=3,"OK","")</f>
        <v/>
      </c>
      <c r="H189" s="44" t="str">
        <f>IF(systemtable[[#This Row],[REJECTED]]&gt;0,"Status5","status"&amp;COUNT(systemtable[[#This Row],[RFI Issued Date]:[PL Received
Date]])+1)</f>
        <v>status1</v>
      </c>
      <c r="I189" s="45"/>
      <c r="J189" s="45"/>
      <c r="K189" s="45"/>
      <c r="L189" s="46"/>
    </row>
    <row r="190" spans="1:12">
      <c r="A190" s="4" t="s">
        <v>223</v>
      </c>
      <c r="B190" s="58" t="s">
        <v>154</v>
      </c>
      <c r="C190" s="55">
        <f>systemtable[[#This Row],[MC Forecast date]]-7</f>
        <v>44452</v>
      </c>
      <c r="D190" s="51">
        <f>systemtable[[#This Row],[Commissioning Forecast Date]]-7</f>
        <v>44459</v>
      </c>
      <c r="E190" s="55">
        <v>44466</v>
      </c>
      <c r="F190" s="35" t="s">
        <v>583</v>
      </c>
      <c r="G190" s="43" t="str">
        <f>IF(COUNT(systemtable[[#This Row],[RFI Issued Date]:[PL Received
Date]])=3,"OK","")</f>
        <v/>
      </c>
      <c r="H190" s="44" t="str">
        <f>IF(systemtable[[#This Row],[REJECTED]]&gt;0,"Status5","status"&amp;COUNT(systemtable[[#This Row],[RFI Issued Date]:[PL Received
Date]])+1)</f>
        <v>status1</v>
      </c>
      <c r="I190" s="45"/>
      <c r="J190" s="45"/>
      <c r="K190" s="45"/>
      <c r="L190" s="46"/>
    </row>
    <row r="191" spans="1:12">
      <c r="A191" s="4" t="s">
        <v>71</v>
      </c>
      <c r="B191" s="62" t="s">
        <v>626</v>
      </c>
      <c r="C191" s="55">
        <f>systemtable[[#This Row],[MC Forecast date]]-7</f>
        <v>44456</v>
      </c>
      <c r="D191" s="51">
        <f>systemtable[[#This Row],[Commissioning Forecast Date]]-7</f>
        <v>44463</v>
      </c>
      <c r="E191" s="55">
        <v>44470</v>
      </c>
      <c r="F191" s="35" t="s">
        <v>570</v>
      </c>
      <c r="G191" s="28" t="str">
        <f>IF(COUNT(systemtable[[#This Row],[RFI Issued Date]:[PL Received
Date]])=3,"OK","")</f>
        <v/>
      </c>
      <c r="H191" s="44" t="str">
        <f>IF(systemtable[[#This Row],[REJECTED]]&gt;0,"Status5","status"&amp;COUNT(systemtable[[#This Row],[RFI Issued Date]:[PL Received
Date]])+1)</f>
        <v>status1</v>
      </c>
      <c r="I191" s="29"/>
      <c r="J191" s="29"/>
      <c r="K191" s="29"/>
      <c r="L191" s="46"/>
    </row>
    <row r="192" spans="1:12">
      <c r="A192" s="4" t="s">
        <v>69</v>
      </c>
      <c r="B192" s="58" t="s">
        <v>68</v>
      </c>
      <c r="C192" s="55">
        <f>systemtable[[#This Row],[MC Forecast date]]-7</f>
        <v>44456</v>
      </c>
      <c r="D192" s="51">
        <f>systemtable[[#This Row],[Commissioning Forecast Date]]-7</f>
        <v>44463</v>
      </c>
      <c r="E192" s="55">
        <v>44470</v>
      </c>
      <c r="F192" s="35" t="s">
        <v>570</v>
      </c>
      <c r="G192" s="28" t="str">
        <f>IF(COUNT(systemtable[[#This Row],[RFI Issued Date]:[PL Received
Date]])=3,"OK","")</f>
        <v/>
      </c>
      <c r="H192" s="44" t="str">
        <f>IF(systemtable[[#This Row],[REJECTED]]&gt;0,"Status5","status"&amp;COUNT(systemtable[[#This Row],[RFI Issued Date]:[PL Received
Date]])+1)</f>
        <v>status1</v>
      </c>
      <c r="I192" s="29"/>
      <c r="J192" s="29"/>
      <c r="K192" s="29"/>
      <c r="L192" s="46"/>
    </row>
    <row r="193" spans="1:12">
      <c r="A193" s="4" t="s">
        <v>178</v>
      </c>
      <c r="B193" s="58" t="s">
        <v>109</v>
      </c>
      <c r="C193" s="55">
        <f>systemtable[[#This Row],[MC Forecast date]]-7</f>
        <v>44456</v>
      </c>
      <c r="D193" s="51">
        <f>systemtable[[#This Row],[Commissioning Forecast Date]]-7</f>
        <v>44463</v>
      </c>
      <c r="E193" s="55">
        <v>44470</v>
      </c>
      <c r="F193" s="35" t="s">
        <v>581</v>
      </c>
      <c r="G193" s="43" t="str">
        <f>IF(COUNT(systemtable[[#This Row],[RFI Issued Date]:[PL Received
Date]])=3,"OK","")</f>
        <v/>
      </c>
      <c r="H193" s="44" t="str">
        <f>IF(systemtable[[#This Row],[REJECTED]]&gt;0,"Status5","status"&amp;COUNT(systemtable[[#This Row],[RFI Issued Date]:[PL Received
Date]])+1)</f>
        <v>status1</v>
      </c>
      <c r="I193" s="45"/>
      <c r="J193" s="45"/>
      <c r="K193" s="45"/>
      <c r="L193" s="46"/>
    </row>
    <row r="194" spans="1:12">
      <c r="A194" s="4" t="s">
        <v>196</v>
      </c>
      <c r="B194" s="58" t="s">
        <v>96</v>
      </c>
      <c r="C194" s="55">
        <f>systemtable[[#This Row],[MC Forecast date]]-7</f>
        <v>44456</v>
      </c>
      <c r="D194" s="51">
        <f>systemtable[[#This Row],[Commissioning Forecast Date]]-7</f>
        <v>44463</v>
      </c>
      <c r="E194" s="55">
        <v>44470</v>
      </c>
      <c r="F194" s="35" t="s">
        <v>581</v>
      </c>
      <c r="G194" s="43" t="str">
        <f>IF(COUNT(systemtable[[#This Row],[RFI Issued Date]:[PL Received
Date]])=3,"OK","")</f>
        <v/>
      </c>
      <c r="H194" s="44" t="str">
        <f>IF(systemtable[[#This Row],[REJECTED]]&gt;0,"Status5","status"&amp;COUNT(systemtable[[#This Row],[RFI Issued Date]:[PL Received
Date]])+1)</f>
        <v>status1</v>
      </c>
      <c r="I194" s="45"/>
      <c r="J194" s="45"/>
      <c r="K194" s="45"/>
      <c r="L194" s="46"/>
    </row>
    <row r="195" spans="1:12">
      <c r="A195" s="4" t="s">
        <v>198</v>
      </c>
      <c r="B195" s="58" t="s">
        <v>99</v>
      </c>
      <c r="C195" s="55">
        <f>systemtable[[#This Row],[MC Forecast date]]-7</f>
        <v>44456</v>
      </c>
      <c r="D195" s="51">
        <f>systemtable[[#This Row],[Commissioning Forecast Date]]-7</f>
        <v>44463</v>
      </c>
      <c r="E195" s="55">
        <v>44470</v>
      </c>
      <c r="F195" s="35" t="s">
        <v>581</v>
      </c>
      <c r="G195" s="43" t="str">
        <f>IF(COUNT(systemtable[[#This Row],[RFI Issued Date]:[PL Received
Date]])=3,"OK","")</f>
        <v/>
      </c>
      <c r="H195" s="44" t="str">
        <f>IF(systemtable[[#This Row],[REJECTED]]&gt;0,"Status5","status"&amp;COUNT(systemtable[[#This Row],[RFI Issued Date]:[PL Received
Date]])+1)</f>
        <v>status1</v>
      </c>
      <c r="I195" s="45"/>
      <c r="J195" s="45"/>
      <c r="K195" s="45"/>
      <c r="L195" s="46"/>
    </row>
    <row r="196" spans="1:12">
      <c r="A196" s="4" t="s">
        <v>180</v>
      </c>
      <c r="B196" s="58" t="s">
        <v>112</v>
      </c>
      <c r="C196" s="55">
        <f>systemtable[[#This Row],[MC Forecast date]]-7</f>
        <v>44456</v>
      </c>
      <c r="D196" s="51">
        <f>systemtable[[#This Row],[Commissioning Forecast Date]]-7</f>
        <v>44463</v>
      </c>
      <c r="E196" s="55">
        <v>44470</v>
      </c>
      <c r="F196" s="35" t="s">
        <v>581</v>
      </c>
      <c r="G196" s="43" t="str">
        <f>IF(COUNT(systemtable[[#This Row],[RFI Issued Date]:[PL Received
Date]])=3,"OK","")</f>
        <v/>
      </c>
      <c r="H196" s="44" t="str">
        <f>IF(systemtable[[#This Row],[REJECTED]]&gt;0,"Status5","status"&amp;COUNT(systemtable[[#This Row],[RFI Issued Date]:[PL Received
Date]])+1)</f>
        <v>status1</v>
      </c>
      <c r="I196" s="45"/>
      <c r="J196" s="45"/>
      <c r="K196" s="45"/>
      <c r="L196" s="46"/>
    </row>
    <row r="197" spans="1:12">
      <c r="A197" s="4" t="s">
        <v>200</v>
      </c>
      <c r="B197" s="58" t="s">
        <v>102</v>
      </c>
      <c r="C197" s="55">
        <f>systemtable[[#This Row],[MC Forecast date]]-7</f>
        <v>44456</v>
      </c>
      <c r="D197" s="51">
        <f>systemtable[[#This Row],[Commissioning Forecast Date]]-7</f>
        <v>44463</v>
      </c>
      <c r="E197" s="55">
        <v>44470</v>
      </c>
      <c r="F197" s="35" t="s">
        <v>581</v>
      </c>
      <c r="G197" s="43" t="str">
        <f>IF(COUNT(systemtable[[#This Row],[RFI Issued Date]:[PL Received
Date]])=3,"OK","")</f>
        <v/>
      </c>
      <c r="H197" s="44" t="str">
        <f>IF(systemtable[[#This Row],[REJECTED]]&gt;0,"Status5","status"&amp;COUNT(systemtable[[#This Row],[RFI Issued Date]:[PL Received
Date]])+1)</f>
        <v>status1</v>
      </c>
      <c r="I197" s="45"/>
      <c r="J197" s="45"/>
      <c r="K197" s="45"/>
      <c r="L197" s="46"/>
    </row>
    <row r="198" spans="1:12">
      <c r="A198" s="4" t="s">
        <v>201</v>
      </c>
      <c r="B198" s="59" t="s">
        <v>103</v>
      </c>
      <c r="C198" s="55">
        <f>systemtable[[#This Row],[MC Forecast date]]-7</f>
        <v>44456</v>
      </c>
      <c r="D198" s="51">
        <f>systemtable[[#This Row],[Commissioning Forecast Date]]-7</f>
        <v>44463</v>
      </c>
      <c r="E198" s="55">
        <v>44470</v>
      </c>
      <c r="F198" s="35" t="s">
        <v>581</v>
      </c>
      <c r="G198" s="43" t="str">
        <f>IF(COUNT(systemtable[[#This Row],[RFI Issued Date]:[PL Received
Date]])=3,"OK","")</f>
        <v/>
      </c>
      <c r="H198" s="44" t="str">
        <f>IF(systemtable[[#This Row],[REJECTED]]&gt;0,"Status5","status"&amp;COUNT(systemtable[[#This Row],[RFI Issued Date]:[PL Received
Date]])+1)</f>
        <v>status1</v>
      </c>
      <c r="I198" s="45"/>
      <c r="J198" s="45"/>
      <c r="K198" s="45"/>
      <c r="L198" s="46"/>
    </row>
    <row r="199" spans="1:12">
      <c r="A199" s="4" t="s">
        <v>195</v>
      </c>
      <c r="B199" s="58" t="s">
        <v>106</v>
      </c>
      <c r="C199" s="55">
        <f>systemtable[[#This Row],[MC Forecast date]]-7</f>
        <v>44456</v>
      </c>
      <c r="D199" s="51">
        <f>systemtable[[#This Row],[Commissioning Forecast Date]]-7</f>
        <v>44463</v>
      </c>
      <c r="E199" s="55">
        <v>44470</v>
      </c>
      <c r="F199" s="35" t="s">
        <v>581</v>
      </c>
      <c r="G199" s="43" t="str">
        <f>IF(COUNT(systemtable[[#This Row],[RFI Issued Date]:[PL Received
Date]])=3,"OK","")</f>
        <v/>
      </c>
      <c r="H199" s="44" t="str">
        <f>IF(systemtable[[#This Row],[REJECTED]]&gt;0,"Status5","status"&amp;COUNT(systemtable[[#This Row],[RFI Issued Date]:[PL Received
Date]])+1)</f>
        <v>status1</v>
      </c>
      <c r="I199" s="45"/>
      <c r="J199" s="45"/>
      <c r="K199" s="45"/>
      <c r="L199" s="46"/>
    </row>
    <row r="200" spans="1:12">
      <c r="A200" s="4" t="s">
        <v>182</v>
      </c>
      <c r="B200" s="35" t="s">
        <v>181</v>
      </c>
      <c r="C200" s="55">
        <f>systemtable[[#This Row],[MC Forecast date]]-7</f>
        <v>44456</v>
      </c>
      <c r="D200" s="51">
        <f>systemtable[[#This Row],[Commissioning Forecast Date]]-7</f>
        <v>44463</v>
      </c>
      <c r="E200" s="55">
        <v>44470</v>
      </c>
      <c r="F200" s="35" t="s">
        <v>581</v>
      </c>
      <c r="G200" s="43" t="str">
        <f>IF(COUNT(systemtable[[#This Row],[RFI Issued Date]:[PL Received
Date]])=3,"OK","")</f>
        <v/>
      </c>
      <c r="H200" s="44" t="str">
        <f>IF(systemtable[[#This Row],[REJECTED]]&gt;0,"Status5","status"&amp;COUNT(systemtable[[#This Row],[RFI Issued Date]:[PL Received
Date]])+1)</f>
        <v>status1</v>
      </c>
      <c r="I200" s="45"/>
      <c r="J200" s="45"/>
      <c r="K200" s="45"/>
      <c r="L200" s="46"/>
    </row>
    <row r="201" spans="1:12">
      <c r="A201" s="4" t="s">
        <v>184</v>
      </c>
      <c r="B201" s="35" t="s">
        <v>183</v>
      </c>
      <c r="C201" s="55">
        <f>systemtable[[#This Row],[MC Forecast date]]-7</f>
        <v>44456</v>
      </c>
      <c r="D201" s="51">
        <f>systemtable[[#This Row],[Commissioning Forecast Date]]-7</f>
        <v>44463</v>
      </c>
      <c r="E201" s="55">
        <v>44470</v>
      </c>
      <c r="F201" s="35" t="s">
        <v>581</v>
      </c>
      <c r="G201" s="43" t="str">
        <f>IF(COUNT(systemtable[[#This Row],[RFI Issued Date]:[PL Received
Date]])=3,"OK","")</f>
        <v/>
      </c>
      <c r="H201" s="44" t="str">
        <f>IF(systemtable[[#This Row],[REJECTED]]&gt;0,"Status5","status"&amp;COUNT(systemtable[[#This Row],[RFI Issued Date]:[PL Received
Date]])+1)</f>
        <v>status1</v>
      </c>
      <c r="I201" s="45"/>
      <c r="J201" s="45"/>
      <c r="K201" s="45"/>
      <c r="L201" s="46"/>
    </row>
    <row r="202" spans="1:12">
      <c r="A202" s="4" t="s">
        <v>187</v>
      </c>
      <c r="B202" s="35" t="s">
        <v>186</v>
      </c>
      <c r="C202" s="55">
        <f>systemtable[[#This Row],[MC Forecast date]]-7</f>
        <v>44456</v>
      </c>
      <c r="D202" s="51">
        <f>systemtable[[#This Row],[Commissioning Forecast Date]]-7</f>
        <v>44463</v>
      </c>
      <c r="E202" s="55">
        <v>44470</v>
      </c>
      <c r="F202" s="35" t="s">
        <v>581</v>
      </c>
      <c r="G202" s="43" t="str">
        <f>IF(COUNT(systemtable[[#This Row],[RFI Issued Date]:[PL Received
Date]])=3,"OK","")</f>
        <v/>
      </c>
      <c r="H202" s="44" t="str">
        <f>IF(systemtable[[#This Row],[REJECTED]]&gt;0,"Status5","status"&amp;COUNT(systemtable[[#This Row],[RFI Issued Date]:[PL Received
Date]])+1)</f>
        <v>status1</v>
      </c>
      <c r="I202" s="45"/>
      <c r="J202" s="45"/>
      <c r="K202" s="45"/>
      <c r="L202" s="46"/>
    </row>
    <row r="203" spans="1:12">
      <c r="A203" s="4" t="s">
        <v>190</v>
      </c>
      <c r="B203" s="35" t="s">
        <v>189</v>
      </c>
      <c r="C203" s="55">
        <f>systemtable[[#This Row],[MC Forecast date]]-7</f>
        <v>44456</v>
      </c>
      <c r="D203" s="51">
        <f>systemtable[[#This Row],[Commissioning Forecast Date]]-7</f>
        <v>44463</v>
      </c>
      <c r="E203" s="55">
        <v>44470</v>
      </c>
      <c r="F203" s="35" t="s">
        <v>581</v>
      </c>
      <c r="G203" s="43" t="str">
        <f>IF(COUNT(systemtable[[#This Row],[RFI Issued Date]:[PL Received
Date]])=3,"OK","")</f>
        <v/>
      </c>
      <c r="H203" s="44" t="str">
        <f>IF(systemtable[[#This Row],[REJECTED]]&gt;0,"Status5","status"&amp;COUNT(systemtable[[#This Row],[RFI Issued Date]:[PL Received
Date]])+1)</f>
        <v>status1</v>
      </c>
      <c r="I203" s="45"/>
      <c r="J203" s="45"/>
      <c r="K203" s="45"/>
      <c r="L203" s="46"/>
    </row>
    <row r="204" spans="1:12">
      <c r="A204" s="4" t="s">
        <v>192</v>
      </c>
      <c r="B204" s="35" t="s">
        <v>191</v>
      </c>
      <c r="C204" s="55">
        <f>systemtable[[#This Row],[MC Forecast date]]-7</f>
        <v>44456</v>
      </c>
      <c r="D204" s="51">
        <f>systemtable[[#This Row],[Commissioning Forecast Date]]-7</f>
        <v>44463</v>
      </c>
      <c r="E204" s="55">
        <v>44470</v>
      </c>
      <c r="F204" s="35" t="s">
        <v>581</v>
      </c>
      <c r="G204" s="43" t="str">
        <f>IF(COUNT(systemtable[[#This Row],[RFI Issued Date]:[PL Received
Date]])=3,"OK","")</f>
        <v/>
      </c>
      <c r="H204" s="44" t="str">
        <f>IF(systemtable[[#This Row],[REJECTED]]&gt;0,"Status5","status"&amp;COUNT(systemtable[[#This Row],[RFI Issued Date]:[PL Received
Date]])+1)</f>
        <v>status1</v>
      </c>
      <c r="I204" s="45"/>
      <c r="J204" s="45"/>
      <c r="K204" s="45"/>
      <c r="L204" s="46"/>
    </row>
    <row r="205" spans="1:12">
      <c r="A205" s="4" t="s">
        <v>203</v>
      </c>
      <c r="B205" s="62" t="s">
        <v>634</v>
      </c>
      <c r="C205" s="55">
        <f>systemtable[[#This Row],[MC Forecast date]]-7</f>
        <v>44456</v>
      </c>
      <c r="D205" s="51">
        <f>systemtable[[#This Row],[Commissioning Forecast Date]]-7</f>
        <v>44463</v>
      </c>
      <c r="E205" s="55">
        <v>44470</v>
      </c>
      <c r="F205" s="35" t="s">
        <v>581</v>
      </c>
      <c r="G205" s="43" t="str">
        <f>IF(COUNT(systemtable[[#This Row],[RFI Issued Date]:[PL Received
Date]])=3,"OK","")</f>
        <v/>
      </c>
      <c r="H205" s="44" t="str">
        <f>IF(systemtable[[#This Row],[REJECTED]]&gt;0,"Status5","status"&amp;COUNT(systemtable[[#This Row],[RFI Issued Date]:[PL Received
Date]])+1)</f>
        <v>status1</v>
      </c>
      <c r="I205" s="45"/>
      <c r="J205" s="45"/>
      <c r="K205" s="45"/>
      <c r="L205" s="46"/>
    </row>
    <row r="206" spans="1:12">
      <c r="A206" s="4" t="s">
        <v>205</v>
      </c>
      <c r="B206" s="62" t="s">
        <v>204</v>
      </c>
      <c r="C206" s="55">
        <f>systemtable[[#This Row],[MC Forecast date]]-7</f>
        <v>44456</v>
      </c>
      <c r="D206" s="51">
        <f>systemtable[[#This Row],[Commissioning Forecast Date]]-7</f>
        <v>44463</v>
      </c>
      <c r="E206" s="55">
        <v>44470</v>
      </c>
      <c r="F206" s="35" t="s">
        <v>581</v>
      </c>
      <c r="G206" s="43" t="str">
        <f>IF(COUNT(systemtable[[#This Row],[RFI Issued Date]:[PL Received
Date]])=3,"OK","")</f>
        <v/>
      </c>
      <c r="H206" s="44" t="str">
        <f>IF(systemtable[[#This Row],[REJECTED]]&gt;0,"Status5","status"&amp;COUNT(systemtable[[#This Row],[RFI Issued Date]:[PL Received
Date]])+1)</f>
        <v>status1</v>
      </c>
      <c r="I206" s="45"/>
      <c r="J206" s="45"/>
      <c r="K206" s="45"/>
      <c r="L206" s="46"/>
    </row>
    <row r="207" spans="1:12">
      <c r="A207" s="30" t="s">
        <v>162</v>
      </c>
      <c r="B207" s="60" t="s">
        <v>131</v>
      </c>
      <c r="C207" s="55">
        <f>systemtable[[#This Row],[MC Forecast date]]-7</f>
        <v>44456</v>
      </c>
      <c r="D207" s="51">
        <f>systemtable[[#This Row],[Commissioning Forecast Date]]-7</f>
        <v>44463</v>
      </c>
      <c r="E207" s="55">
        <v>44470</v>
      </c>
      <c r="F207" s="35" t="s">
        <v>582</v>
      </c>
      <c r="G207" s="43" t="str">
        <f>IF(COUNT(systemtable[[#This Row],[RFI Issued Date]:[PL Received
Date]])=3,"OK","")</f>
        <v/>
      </c>
      <c r="H207" s="44" t="str">
        <f>IF(systemtable[[#This Row],[REJECTED]]&gt;0,"Status5","status"&amp;COUNT(systemtable[[#This Row],[RFI Issued Date]:[PL Received
Date]])+1)</f>
        <v>status1</v>
      </c>
      <c r="I207" s="45"/>
      <c r="J207" s="45"/>
      <c r="K207" s="45"/>
      <c r="L207" s="46"/>
    </row>
    <row r="208" spans="1:12">
      <c r="A208" s="4" t="s">
        <v>656</v>
      </c>
      <c r="B208" s="41" t="s">
        <v>655</v>
      </c>
      <c r="C208" s="55">
        <f>systemtable[[#This Row],[MC Forecast date]]-7</f>
        <v>44456</v>
      </c>
      <c r="D208" s="51">
        <f>systemtable[[#This Row],[Commissioning Forecast Date]]-7</f>
        <v>44463</v>
      </c>
      <c r="E208" s="55">
        <v>44470</v>
      </c>
      <c r="F208" s="35" t="s">
        <v>582</v>
      </c>
      <c r="G208" s="43" t="str">
        <f>IF(COUNT(systemtable[[#This Row],[RFI Issued Date]:[PL Received
Date]])=3,"OK","")</f>
        <v/>
      </c>
      <c r="H208" s="44" t="str">
        <f>IF(systemtable[[#This Row],[REJECTED]]&gt;0,"Status5","status"&amp;COUNT(systemtable[[#This Row],[RFI Issued Date]:[PL Received
Date]])+1)</f>
        <v>status1</v>
      </c>
      <c r="I208" s="45"/>
      <c r="J208" s="45"/>
      <c r="K208" s="45"/>
      <c r="L208" s="46"/>
    </row>
    <row r="209" spans="1:12">
      <c r="A209" s="4" t="s">
        <v>211</v>
      </c>
      <c r="B209" s="35" t="s">
        <v>128</v>
      </c>
      <c r="C209" s="55">
        <f>systemtable[[#This Row],[MC Forecast date]]-7</f>
        <v>44456</v>
      </c>
      <c r="D209" s="51">
        <f>systemtable[[#This Row],[Commissioning Forecast Date]]-7</f>
        <v>44463</v>
      </c>
      <c r="E209" s="55">
        <v>44470</v>
      </c>
      <c r="F209" s="35" t="s">
        <v>582</v>
      </c>
      <c r="G209" s="43" t="str">
        <f>IF(COUNT(systemtable[[#This Row],[RFI Issued Date]:[PL Received
Date]])=3,"OK","")</f>
        <v/>
      </c>
      <c r="H209" s="44" t="str">
        <f>IF(systemtable[[#This Row],[REJECTED]]&gt;0,"Status5","status"&amp;COUNT(systemtable[[#This Row],[RFI Issued Date]:[PL Received
Date]])+1)</f>
        <v>status1</v>
      </c>
      <c r="I209" s="45"/>
      <c r="J209" s="45"/>
      <c r="K209" s="45"/>
      <c r="L209" s="46"/>
    </row>
    <row r="210" spans="1:12">
      <c r="A210" s="4" t="s">
        <v>209</v>
      </c>
      <c r="B210" s="35" t="s">
        <v>117</v>
      </c>
      <c r="C210" s="55">
        <f>systemtable[[#This Row],[MC Forecast date]]-7</f>
        <v>44456</v>
      </c>
      <c r="D210" s="51">
        <f>systemtable[[#This Row],[Commissioning Forecast Date]]-7</f>
        <v>44463</v>
      </c>
      <c r="E210" s="55">
        <v>44470</v>
      </c>
      <c r="F210" s="35" t="s">
        <v>582</v>
      </c>
      <c r="G210" s="43" t="str">
        <f>IF(COUNT(systemtable[[#This Row],[RFI Issued Date]:[PL Received
Date]])=3,"OK","")</f>
        <v/>
      </c>
      <c r="H210" s="44" t="str">
        <f>IF(systemtable[[#This Row],[REJECTED]]&gt;0,"Status5","status"&amp;COUNT(systemtable[[#This Row],[RFI Issued Date]:[PL Received
Date]])+1)</f>
        <v>status1</v>
      </c>
      <c r="I210" s="45"/>
      <c r="J210" s="45"/>
      <c r="K210" s="45"/>
      <c r="L210" s="46"/>
    </row>
    <row r="211" spans="1:12">
      <c r="A211" s="4" t="s">
        <v>212</v>
      </c>
      <c r="B211" s="35" t="s">
        <v>125</v>
      </c>
      <c r="C211" s="55">
        <f>systemtable[[#This Row],[MC Forecast date]]-7</f>
        <v>44456</v>
      </c>
      <c r="D211" s="51">
        <f>systemtable[[#This Row],[Commissioning Forecast Date]]-7</f>
        <v>44463</v>
      </c>
      <c r="E211" s="55">
        <v>44470</v>
      </c>
      <c r="F211" s="35" t="s">
        <v>582</v>
      </c>
      <c r="G211" s="43" t="str">
        <f>IF(COUNT(systemtable[[#This Row],[RFI Issued Date]:[PL Received
Date]])=3,"OK","")</f>
        <v/>
      </c>
      <c r="H211" s="44" t="str">
        <f>IF(systemtable[[#This Row],[REJECTED]]&gt;0,"Status5","status"&amp;COUNT(systemtable[[#This Row],[RFI Issued Date]:[PL Received
Date]])+1)</f>
        <v>status1</v>
      </c>
      <c r="I211" s="45"/>
      <c r="J211" s="45"/>
      <c r="K211" s="45"/>
      <c r="L211" s="46"/>
    </row>
    <row r="212" spans="1:12">
      <c r="A212" s="4" t="s">
        <v>328</v>
      </c>
      <c r="B212" s="59" t="s">
        <v>197</v>
      </c>
      <c r="C212" s="55">
        <f>systemtable[[#This Row],[MC Forecast date]]-7</f>
        <v>44459</v>
      </c>
      <c r="D212" s="51">
        <f>systemtable[[#This Row],[Commissioning Forecast Date]]-7</f>
        <v>44466</v>
      </c>
      <c r="E212" s="55">
        <v>44473</v>
      </c>
      <c r="F212" s="35" t="s">
        <v>603</v>
      </c>
      <c r="G212" s="43" t="str">
        <f>IF(COUNT(systemtable[[#This Row],[RFI Issued Date]:[PL Received
Date]])=3,"OK","")</f>
        <v/>
      </c>
      <c r="H212" s="44" t="str">
        <f>IF(systemtable[[#This Row],[REJECTED]]&gt;0,"Status5","status"&amp;COUNT(systemtable[[#This Row],[RFI Issued Date]:[PL Received
Date]])+1)</f>
        <v>status1</v>
      </c>
      <c r="I212" s="45"/>
      <c r="J212" s="45"/>
      <c r="K212" s="45"/>
      <c r="L212" s="46"/>
    </row>
    <row r="213" spans="1:12">
      <c r="A213" s="4" t="s">
        <v>331</v>
      </c>
      <c r="B213" s="35" t="s">
        <v>330</v>
      </c>
      <c r="C213" s="55">
        <f>systemtable[[#This Row],[MC Forecast date]]-7</f>
        <v>44459</v>
      </c>
      <c r="D213" s="51">
        <f>systemtable[[#This Row],[Commissioning Forecast Date]]-7</f>
        <v>44466</v>
      </c>
      <c r="E213" s="55">
        <v>44473</v>
      </c>
      <c r="F213" s="35" t="s">
        <v>603</v>
      </c>
      <c r="G213" s="43" t="str">
        <f>IF(COUNT(systemtable[[#This Row],[RFI Issued Date]:[PL Received
Date]])=3,"OK","")</f>
        <v/>
      </c>
      <c r="H213" s="44" t="str">
        <f>IF(systemtable[[#This Row],[REJECTED]]&gt;0,"Status5","status"&amp;COUNT(systemtable[[#This Row],[RFI Issued Date]:[PL Received
Date]])+1)</f>
        <v>status1</v>
      </c>
      <c r="I213" s="45"/>
      <c r="J213" s="45"/>
      <c r="K213" s="45"/>
      <c r="L213" s="46"/>
    </row>
    <row r="214" spans="1:12">
      <c r="A214" s="4" t="s">
        <v>332</v>
      </c>
      <c r="B214" s="35" t="s">
        <v>658</v>
      </c>
      <c r="C214" s="55">
        <f>systemtable[[#This Row],[MC Forecast date]]-7</f>
        <v>44459</v>
      </c>
      <c r="D214" s="51">
        <f>systemtable[[#This Row],[Commissioning Forecast Date]]-7</f>
        <v>44466</v>
      </c>
      <c r="E214" s="55">
        <v>44473</v>
      </c>
      <c r="F214" s="35" t="s">
        <v>603</v>
      </c>
      <c r="G214" s="43" t="str">
        <f>IF(COUNT(systemtable[[#This Row],[RFI Issued Date]:[PL Received
Date]])=3,"OK","")</f>
        <v/>
      </c>
      <c r="H214" s="44" t="str">
        <f>IF(systemtable[[#This Row],[REJECTED]]&gt;0,"Status5","status"&amp;COUNT(systemtable[[#This Row],[RFI Issued Date]:[PL Received
Date]])+1)</f>
        <v>status1</v>
      </c>
      <c r="I214" s="45"/>
      <c r="J214" s="45"/>
      <c r="K214" s="45"/>
      <c r="L214" s="46"/>
    </row>
    <row r="215" spans="1:12">
      <c r="A215" s="4" t="s">
        <v>333</v>
      </c>
      <c r="B215" s="58" t="s">
        <v>161</v>
      </c>
      <c r="C215" s="55">
        <f>systemtable[[#This Row],[MC Forecast date]]-7</f>
        <v>44459</v>
      </c>
      <c r="D215" s="51">
        <f>systemtable[[#This Row],[Commissioning Forecast Date]]-7</f>
        <v>44466</v>
      </c>
      <c r="E215" s="55">
        <v>44473</v>
      </c>
      <c r="F215" s="35" t="s">
        <v>604</v>
      </c>
      <c r="G215" s="43" t="str">
        <f>IF(COUNT(systemtable[[#This Row],[RFI Issued Date]:[PL Received
Date]])=3,"OK","")</f>
        <v/>
      </c>
      <c r="H215" s="44" t="str">
        <f>IF(systemtable[[#This Row],[REJECTED]]&gt;0,"Status5","status"&amp;COUNT(systemtable[[#This Row],[RFI Issued Date]:[PL Received
Date]])+1)</f>
        <v>status1</v>
      </c>
      <c r="I215" s="45"/>
      <c r="J215" s="45"/>
      <c r="K215" s="45"/>
      <c r="L215" s="46"/>
    </row>
    <row r="216" spans="1:12">
      <c r="A216" s="4" t="s">
        <v>232</v>
      </c>
      <c r="B216" s="58" t="s">
        <v>174</v>
      </c>
      <c r="C216" s="55">
        <f>systemtable[[#This Row],[MC Forecast date]]-7</f>
        <v>44459</v>
      </c>
      <c r="D216" s="51">
        <f>systemtable[[#This Row],[Commissioning Forecast Date]]-7</f>
        <v>44466</v>
      </c>
      <c r="E216" s="55">
        <v>44473</v>
      </c>
      <c r="F216" s="35" t="s">
        <v>585</v>
      </c>
      <c r="G216" s="43" t="str">
        <f>IF(COUNT(systemtable[[#This Row],[RFI Issued Date]:[PL Received
Date]])=3,"OK","")</f>
        <v/>
      </c>
      <c r="H216" s="44" t="str">
        <f>IF(systemtable[[#This Row],[REJECTED]]&gt;0,"Status5","status"&amp;COUNT(systemtable[[#This Row],[RFI Issued Date]:[PL Received
Date]])+1)</f>
        <v>status1</v>
      </c>
      <c r="I216" s="45"/>
      <c r="J216" s="45"/>
      <c r="K216" s="45"/>
      <c r="L216" s="46"/>
    </row>
    <row r="217" spans="1:12">
      <c r="A217" s="4" t="s">
        <v>239</v>
      </c>
      <c r="B217" s="35" t="s">
        <v>238</v>
      </c>
      <c r="C217" s="55">
        <f>systemtable[[#This Row],[MC Forecast date]]-7</f>
        <v>44459</v>
      </c>
      <c r="D217" s="51">
        <f>systemtable[[#This Row],[Commissioning Forecast Date]]-7</f>
        <v>44466</v>
      </c>
      <c r="E217" s="55">
        <v>44473</v>
      </c>
      <c r="F217" s="35" t="s">
        <v>587</v>
      </c>
      <c r="G217" s="43" t="str">
        <f>IF(COUNT(systemtable[[#This Row],[RFI Issued Date]:[PL Received
Date]])=3,"OK","")</f>
        <v/>
      </c>
      <c r="H217" s="44" t="str">
        <f>IF(systemtable[[#This Row],[REJECTED]]&gt;0,"Status5","status"&amp;COUNT(systemtable[[#This Row],[RFI Issued Date]:[PL Received
Date]])+1)</f>
        <v>status1</v>
      </c>
      <c r="I217" s="45"/>
      <c r="J217" s="45"/>
      <c r="K217" s="45"/>
      <c r="L217" s="46"/>
    </row>
    <row r="218" spans="1:12">
      <c r="A218" s="4" t="s">
        <v>372</v>
      </c>
      <c r="B218" s="58" t="s">
        <v>177</v>
      </c>
      <c r="C218" s="55">
        <f>systemtable[[#This Row],[MC Forecast date]]-7</f>
        <v>44459</v>
      </c>
      <c r="D218" s="51">
        <f>systemtable[[#This Row],[Commissioning Forecast Date]]-7</f>
        <v>44466</v>
      </c>
      <c r="E218" s="55">
        <v>44473</v>
      </c>
      <c r="F218" s="35" t="s">
        <v>610</v>
      </c>
      <c r="G218" s="43" t="str">
        <f>IF(COUNT(systemtable[[#This Row],[RFI Issued Date]:[PL Received
Date]])=3,"OK","")</f>
        <v/>
      </c>
      <c r="H218" s="44" t="str">
        <f>IF(systemtable[[#This Row],[REJECTED]]&gt;0,"Status5","status"&amp;COUNT(systemtable[[#This Row],[RFI Issued Date]:[PL Received
Date]])+1)</f>
        <v>status1</v>
      </c>
      <c r="I218" s="45"/>
      <c r="J218" s="45"/>
      <c r="K218" s="45"/>
      <c r="L218" s="46"/>
    </row>
    <row r="219" spans="1:12">
      <c r="A219" s="4" t="s">
        <v>329</v>
      </c>
      <c r="B219" s="58" t="s">
        <v>199</v>
      </c>
      <c r="C219" s="55">
        <f>systemtable[[#This Row],[MC Forecast date]]-7</f>
        <v>44459</v>
      </c>
      <c r="D219" s="51">
        <f>systemtable[[#This Row],[Commissioning Forecast Date]]-7</f>
        <v>44466</v>
      </c>
      <c r="E219" s="55">
        <v>44473</v>
      </c>
      <c r="F219" s="35" t="s">
        <v>603</v>
      </c>
      <c r="G219" s="43" t="str">
        <f>IF(COUNT(systemtable[[#This Row],[RFI Issued Date]:[PL Received
Date]])=3,"OK","")</f>
        <v/>
      </c>
      <c r="H219" s="44" t="str">
        <f>IF(systemtable[[#This Row],[REJECTED]]&gt;0,"Status5","status"&amp;COUNT(systemtable[[#This Row],[RFI Issued Date]:[PL Received
Date]])+1)</f>
        <v>status1</v>
      </c>
      <c r="I219" s="45"/>
      <c r="J219" s="45"/>
      <c r="K219" s="45"/>
      <c r="L219" s="46"/>
    </row>
    <row r="220" spans="1:12">
      <c r="A220" s="4" t="s">
        <v>241</v>
      </c>
      <c r="B220" s="58" t="s">
        <v>179</v>
      </c>
      <c r="C220" s="55">
        <f>systemtable[[#This Row],[MC Forecast date]]-7</f>
        <v>44459</v>
      </c>
      <c r="D220" s="51">
        <f>systemtable[[#This Row],[Commissioning Forecast Date]]-7</f>
        <v>44466</v>
      </c>
      <c r="E220" s="55">
        <v>44473</v>
      </c>
      <c r="F220" s="35" t="s">
        <v>587</v>
      </c>
      <c r="G220" s="43" t="str">
        <f>IF(COUNT(systemtable[[#This Row],[RFI Issued Date]:[PL Received
Date]])=3,"OK","")</f>
        <v/>
      </c>
      <c r="H220" s="44" t="str">
        <f>IF(systemtable[[#This Row],[REJECTED]]&gt;0,"Status5","status"&amp;COUNT(systemtable[[#This Row],[RFI Issued Date]:[PL Received
Date]])+1)</f>
        <v>status1</v>
      </c>
      <c r="I220" s="45"/>
      <c r="J220" s="45"/>
      <c r="K220" s="45"/>
      <c r="L220" s="46"/>
    </row>
    <row r="221" spans="1:12">
      <c r="A221" s="4" t="s">
        <v>251</v>
      </c>
      <c r="B221" s="35" t="s">
        <v>250</v>
      </c>
      <c r="C221" s="55">
        <f>systemtable[[#This Row],[MC Forecast date]]-7</f>
        <v>44459</v>
      </c>
      <c r="D221" s="51">
        <f>systemtable[[#This Row],[Commissioning Forecast Date]]-7</f>
        <v>44466</v>
      </c>
      <c r="E221" s="55">
        <v>44473</v>
      </c>
      <c r="F221" s="35" t="s">
        <v>588</v>
      </c>
      <c r="G221" s="43" t="str">
        <f>IF(COUNT(systemtable[[#This Row],[RFI Issued Date]:[PL Received
Date]])=3,"OK","")</f>
        <v/>
      </c>
      <c r="H221" s="44" t="str">
        <f>IF(systemtable[[#This Row],[REJECTED]]&gt;0,"Status5","status"&amp;COUNT(systemtable[[#This Row],[RFI Issued Date]:[PL Received
Date]])+1)</f>
        <v>status1</v>
      </c>
      <c r="I221" s="45"/>
      <c r="J221" s="45"/>
      <c r="K221" s="45"/>
      <c r="L221" s="46"/>
    </row>
    <row r="222" spans="1:12">
      <c r="A222" s="34" t="s">
        <v>243</v>
      </c>
      <c r="B222" s="35" t="s">
        <v>242</v>
      </c>
      <c r="C222" s="55">
        <f>systemtable[[#This Row],[MC Forecast date]]-7</f>
        <v>44459</v>
      </c>
      <c r="D222" s="51">
        <f>systemtable[[#This Row],[Commissioning Forecast Date]]-7</f>
        <v>44466</v>
      </c>
      <c r="E222" s="55">
        <v>44473</v>
      </c>
      <c r="F222" s="35" t="s">
        <v>587</v>
      </c>
      <c r="G222" s="43" t="str">
        <f>IF(COUNT(systemtable[[#This Row],[RFI Issued Date]:[PL Received
Date]])=3,"OK","")</f>
        <v/>
      </c>
      <c r="H222" s="44" t="str">
        <f>IF(systemtable[[#This Row],[REJECTED]]&gt;0,"Status5","status"&amp;COUNT(systemtable[[#This Row],[RFI Issued Date]:[PL Received
Date]])+1)</f>
        <v>status1</v>
      </c>
      <c r="I222" s="45"/>
      <c r="J222" s="45"/>
      <c r="K222" s="45"/>
      <c r="L222" s="46"/>
    </row>
    <row r="223" spans="1:12">
      <c r="A223" s="38" t="s">
        <v>246</v>
      </c>
      <c r="B223" s="41" t="s">
        <v>245</v>
      </c>
      <c r="C223" s="55">
        <f>systemtable[[#This Row],[MC Forecast date]]-7</f>
        <v>44459</v>
      </c>
      <c r="D223" s="51">
        <f>systemtable[[#This Row],[Commissioning Forecast Date]]-7</f>
        <v>44466</v>
      </c>
      <c r="E223" s="55">
        <v>44473</v>
      </c>
      <c r="F223" s="35" t="s">
        <v>587</v>
      </c>
      <c r="G223" s="43" t="str">
        <f>IF(COUNT(systemtable[[#This Row],[RFI Issued Date]:[PL Received
Date]])=3,"OK","")</f>
        <v/>
      </c>
      <c r="H223" s="44" t="str">
        <f>IF(systemtable[[#This Row],[REJECTED]]&gt;0,"Status5","status"&amp;COUNT(systemtable[[#This Row],[RFI Issued Date]:[PL Received
Date]])+1)</f>
        <v>status1</v>
      </c>
      <c r="I223" s="45"/>
      <c r="J223" s="45"/>
      <c r="K223" s="45"/>
      <c r="L223" s="46"/>
    </row>
    <row r="224" spans="1:12">
      <c r="A224" s="34" t="s">
        <v>249</v>
      </c>
      <c r="B224" s="41" t="s">
        <v>248</v>
      </c>
      <c r="C224" s="55">
        <f>systemtable[[#This Row],[MC Forecast date]]-7</f>
        <v>44459</v>
      </c>
      <c r="D224" s="51">
        <f>systemtable[[#This Row],[Commissioning Forecast Date]]-7</f>
        <v>44466</v>
      </c>
      <c r="E224" s="55">
        <v>44473</v>
      </c>
      <c r="F224" s="35" t="s">
        <v>587</v>
      </c>
      <c r="G224" s="43" t="str">
        <f>IF(COUNT(systemtable[[#This Row],[RFI Issued Date]:[PL Received
Date]])=3,"OK","")</f>
        <v/>
      </c>
      <c r="H224" s="44" t="str">
        <f>IF(systemtable[[#This Row],[REJECTED]]&gt;0,"Status5","status"&amp;COUNT(systemtable[[#This Row],[RFI Issued Date]:[PL Received
Date]])+1)</f>
        <v>status1</v>
      </c>
      <c r="I224" s="45"/>
      <c r="J224" s="45"/>
      <c r="K224" s="45"/>
      <c r="L224" s="46"/>
    </row>
    <row r="225" spans="1:12">
      <c r="A225" s="4" t="s">
        <v>226</v>
      </c>
      <c r="B225" s="56" t="s">
        <v>225</v>
      </c>
      <c r="C225" s="55">
        <f>systemtable[[#This Row],[MC Forecast date]]-7</f>
        <v>44460</v>
      </c>
      <c r="D225" s="51">
        <f>systemtable[[#This Row],[Commissioning Forecast Date]]-7</f>
        <v>44467</v>
      </c>
      <c r="E225" s="55">
        <v>44474</v>
      </c>
      <c r="F225" s="35" t="s">
        <v>584</v>
      </c>
      <c r="G225" s="43" t="str">
        <f>IF(COUNT(systemtable[[#This Row],[RFI Issued Date]:[PL Received
Date]])=3,"OK","")</f>
        <v/>
      </c>
      <c r="H225" s="44" t="str">
        <f>IF(systemtable[[#This Row],[REJECTED]]&gt;0,"Status5","status"&amp;COUNT(systemtable[[#This Row],[RFI Issued Date]:[PL Received
Date]])+1)</f>
        <v>status1</v>
      </c>
      <c r="I225" s="45"/>
      <c r="J225" s="45"/>
      <c r="K225" s="45"/>
      <c r="L225" s="46"/>
    </row>
    <row r="226" spans="1:12">
      <c r="A226" s="4" t="s">
        <v>228</v>
      </c>
      <c r="B226" s="58" t="s">
        <v>144</v>
      </c>
      <c r="C226" s="55">
        <f>systemtable[[#This Row],[MC Forecast date]]-7</f>
        <v>44460</v>
      </c>
      <c r="D226" s="51">
        <f>systemtable[[#This Row],[Commissioning Forecast Date]]-7</f>
        <v>44467</v>
      </c>
      <c r="E226" s="55">
        <v>44474</v>
      </c>
      <c r="F226" s="35" t="s">
        <v>584</v>
      </c>
      <c r="G226" s="43" t="str">
        <f>IF(COUNT(systemtable[[#This Row],[RFI Issued Date]:[PL Received
Date]])=3,"OK","")</f>
        <v/>
      </c>
      <c r="H226" s="44" t="str">
        <f>IF(systemtable[[#This Row],[REJECTED]]&gt;0,"Status5","status"&amp;COUNT(systemtable[[#This Row],[RFI Issued Date]:[PL Received
Date]])+1)</f>
        <v>status1</v>
      </c>
      <c r="I226" s="45"/>
      <c r="J226" s="45"/>
      <c r="K226" s="45"/>
      <c r="L226" s="46"/>
    </row>
    <row r="227" spans="1:12">
      <c r="A227" s="4" t="s">
        <v>227</v>
      </c>
      <c r="B227" s="35" t="s">
        <v>145</v>
      </c>
      <c r="C227" s="55">
        <f>systemtable[[#This Row],[MC Forecast date]]-7</f>
        <v>44460</v>
      </c>
      <c r="D227" s="51">
        <f>systemtable[[#This Row],[Commissioning Forecast Date]]-7</f>
        <v>44467</v>
      </c>
      <c r="E227" s="55">
        <v>44474</v>
      </c>
      <c r="F227" s="35" t="s">
        <v>584</v>
      </c>
      <c r="G227" s="43" t="str">
        <f>IF(COUNT(systemtable[[#This Row],[RFI Issued Date]:[PL Received
Date]])=3,"OK","")</f>
        <v/>
      </c>
      <c r="H227" s="44" t="str">
        <f>IF(systemtable[[#This Row],[REJECTED]]&gt;0,"Status5","status"&amp;COUNT(systemtable[[#This Row],[RFI Issued Date]:[PL Received
Date]])+1)</f>
        <v>status1</v>
      </c>
      <c r="I227" s="45"/>
      <c r="J227" s="45"/>
      <c r="K227" s="45"/>
      <c r="L227" s="46"/>
    </row>
    <row r="228" spans="1:12">
      <c r="A228" s="4" t="s">
        <v>230</v>
      </c>
      <c r="B228" s="63" t="s">
        <v>636</v>
      </c>
      <c r="C228" s="55">
        <f>systemtable[[#This Row],[MC Forecast date]]-7</f>
        <v>44460</v>
      </c>
      <c r="D228" s="51">
        <f>systemtable[[#This Row],[Commissioning Forecast Date]]-7</f>
        <v>44467</v>
      </c>
      <c r="E228" s="55">
        <v>44474</v>
      </c>
      <c r="F228" s="35" t="s">
        <v>584</v>
      </c>
      <c r="G228" s="43" t="str">
        <f>IF(COUNT(systemtable[[#This Row],[RFI Issued Date]:[PL Received
Date]])=3,"OK","")</f>
        <v/>
      </c>
      <c r="H228" s="44" t="str">
        <f>IF(systemtable[[#This Row],[REJECTED]]&gt;0,"Status5","status"&amp;COUNT(systemtable[[#This Row],[RFI Issued Date]:[PL Received
Date]])+1)</f>
        <v>status1</v>
      </c>
      <c r="I228" s="45"/>
      <c r="J228" s="45"/>
      <c r="K228" s="45"/>
      <c r="L228" s="46"/>
    </row>
    <row r="229" spans="1:12">
      <c r="A229" s="4" t="s">
        <v>567</v>
      </c>
      <c r="B229" s="66" t="s">
        <v>474</v>
      </c>
      <c r="C229" s="55">
        <f>systemtable[[#This Row],[MC Forecast date]]-7</f>
        <v>44466</v>
      </c>
      <c r="D229" s="51">
        <f>systemtable[[#This Row],[Commissioning Forecast Date]]-7</f>
        <v>44473</v>
      </c>
      <c r="E229" s="55">
        <v>44480</v>
      </c>
      <c r="F229" s="35" t="s">
        <v>622</v>
      </c>
      <c r="G229" s="43" t="str">
        <f>IF(COUNT(systemtable[[#This Row],[RFI Issued Date]:[PL Received
Date]])=3,"OK","")</f>
        <v/>
      </c>
      <c r="H229" s="44" t="str">
        <f>IF(systemtable[[#This Row],[REJECTED]]&gt;0,"Status5","status"&amp;COUNT(systemtable[[#This Row],[RFI Issued Date]:[PL Received
Date]])+1)</f>
        <v>status1</v>
      </c>
      <c r="I229" s="45"/>
      <c r="J229" s="45"/>
      <c r="K229" s="45"/>
      <c r="L229" s="46"/>
    </row>
    <row r="230" spans="1:12">
      <c r="A230" s="30" t="s">
        <v>566</v>
      </c>
      <c r="B230" s="67" t="s">
        <v>476</v>
      </c>
      <c r="C230" s="55">
        <f>systemtable[[#This Row],[MC Forecast date]]-7</f>
        <v>44466</v>
      </c>
      <c r="D230" s="51">
        <f>systemtable[[#This Row],[Commissioning Forecast Date]]-7</f>
        <v>44473</v>
      </c>
      <c r="E230" s="55">
        <v>44480</v>
      </c>
      <c r="F230" s="35" t="s">
        <v>622</v>
      </c>
      <c r="G230" s="43" t="str">
        <f>IF(COUNT(systemtable[[#This Row],[RFI Issued Date]:[PL Received
Date]])=3,"OK","")</f>
        <v/>
      </c>
      <c r="H230" s="44" t="str">
        <f>IF(systemtable[[#This Row],[REJECTED]]&gt;0,"Status5","status"&amp;COUNT(systemtable[[#This Row],[RFI Issued Date]:[PL Received
Date]])+1)</f>
        <v>status1</v>
      </c>
      <c r="I230" s="45"/>
      <c r="J230" s="45"/>
      <c r="K230" s="45"/>
      <c r="L230" s="46"/>
    </row>
    <row r="231" spans="1:12">
      <c r="A231" s="4" t="s">
        <v>565</v>
      </c>
      <c r="B231" s="66" t="s">
        <v>628</v>
      </c>
      <c r="C231" s="55">
        <f>systemtable[[#This Row],[MC Forecast date]]-7</f>
        <v>44487</v>
      </c>
      <c r="D231" s="51">
        <f>systemtable[[#This Row],[Commissioning Forecast Date]]-7</f>
        <v>44494</v>
      </c>
      <c r="E231" s="55">
        <v>44501</v>
      </c>
      <c r="F231" s="35" t="s">
        <v>621</v>
      </c>
      <c r="G231" s="43" t="str">
        <f>IF(COUNT(systemtable[[#This Row],[RFI Issued Date]:[PL Received
Date]])=3,"OK","")</f>
        <v/>
      </c>
      <c r="H231" s="44" t="str">
        <f>IF(systemtable[[#This Row],[REJECTED]]&gt;0,"Status5","status"&amp;COUNT(systemtable[[#This Row],[RFI Issued Date]:[PL Received
Date]])+1)</f>
        <v>status1</v>
      </c>
      <c r="I231" s="45"/>
      <c r="J231" s="45"/>
      <c r="K231" s="45"/>
      <c r="L231" s="46"/>
    </row>
    <row r="232" spans="1:12">
      <c r="A232" s="4" t="s">
        <v>234</v>
      </c>
      <c r="B232" s="66" t="s">
        <v>185</v>
      </c>
      <c r="C232" s="55">
        <f>systemtable[[#This Row],[MC Forecast date]]-7</f>
        <v>44501</v>
      </c>
      <c r="D232" s="51">
        <f>systemtable[[#This Row],[Commissioning Forecast Date]]-7</f>
        <v>44508</v>
      </c>
      <c r="E232" s="55">
        <v>44515</v>
      </c>
      <c r="F232" s="35" t="s">
        <v>586</v>
      </c>
      <c r="G232" s="43" t="str">
        <f>IF(COUNT(systemtable[[#This Row],[RFI Issued Date]:[PL Received
Date]])=3,"OK","")</f>
        <v/>
      </c>
      <c r="H232" s="44" t="str">
        <f>IF(systemtable[[#This Row],[REJECTED]]&gt;0,"Status5","status"&amp;COUNT(systemtable[[#This Row],[RFI Issued Date]:[PL Received
Date]])+1)</f>
        <v>status1</v>
      </c>
      <c r="I232" s="45"/>
      <c r="J232" s="45"/>
      <c r="K232" s="45"/>
      <c r="L232" s="46"/>
    </row>
    <row r="233" spans="1:12">
      <c r="A233" s="4" t="s">
        <v>236</v>
      </c>
      <c r="B233" s="66" t="s">
        <v>188</v>
      </c>
      <c r="C233" s="55">
        <f>systemtable[[#This Row],[MC Forecast date]]-7</f>
        <v>44501</v>
      </c>
      <c r="D233" s="51">
        <f>systemtable[[#This Row],[Commissioning Forecast Date]]-7</f>
        <v>44508</v>
      </c>
      <c r="E233" s="55">
        <v>44515</v>
      </c>
      <c r="F233" s="35" t="s">
        <v>586</v>
      </c>
      <c r="G233" s="43" t="str">
        <f>IF(COUNT(systemtable[[#This Row],[RFI Issued Date]:[PL Received
Date]])=3,"OK","")</f>
        <v/>
      </c>
      <c r="H233" s="44" t="str">
        <f>IF(systemtable[[#This Row],[REJECTED]]&gt;0,"Status5","status"&amp;COUNT(systemtable[[#This Row],[RFI Issued Date]:[PL Received
Date]])+1)</f>
        <v>status1</v>
      </c>
      <c r="I233" s="45"/>
      <c r="J233" s="45"/>
      <c r="K233" s="45"/>
      <c r="L233" s="46"/>
    </row>
    <row r="234" spans="1:12">
      <c r="A234" s="4" t="s">
        <v>254</v>
      </c>
      <c r="B234" s="35" t="s">
        <v>253</v>
      </c>
      <c r="C234" s="55">
        <f>systemtable[[#This Row],[MC Forecast date]]-7</f>
        <v>44501</v>
      </c>
      <c r="D234" s="51">
        <f>systemtable[[#This Row],[Commissioning Forecast Date]]-7</f>
        <v>44508</v>
      </c>
      <c r="E234" s="55">
        <v>44515</v>
      </c>
      <c r="F234" s="35" t="s">
        <v>588</v>
      </c>
      <c r="G234" s="43" t="str">
        <f>IF(COUNT(systemtable[[#This Row],[RFI Issued Date]:[PL Received
Date]])=3,"OK","")</f>
        <v/>
      </c>
      <c r="H234" s="44" t="str">
        <f>IF(systemtable[[#This Row],[REJECTED]]&gt;0,"Status5","status"&amp;COUNT(systemtable[[#This Row],[RFI Issued Date]:[PL Received
Date]])+1)</f>
        <v>status1</v>
      </c>
      <c r="I234" s="45"/>
      <c r="J234" s="45"/>
      <c r="K234" s="45"/>
      <c r="L234" s="46"/>
    </row>
    <row r="235" spans="1:12">
      <c r="A235" s="4" t="s">
        <v>261</v>
      </c>
      <c r="B235" s="41" t="s">
        <v>260</v>
      </c>
      <c r="C235" s="55">
        <f>systemtable[[#This Row],[MC Forecast date]]-7</f>
        <v>44501</v>
      </c>
      <c r="D235" s="51">
        <f>systemtable[[#This Row],[Commissioning Forecast Date]]-7</f>
        <v>44508</v>
      </c>
      <c r="E235" s="55">
        <v>44515</v>
      </c>
      <c r="F235" s="35" t="s">
        <v>588</v>
      </c>
      <c r="G235" s="43" t="str">
        <f>IF(COUNT(systemtable[[#This Row],[RFI Issued Date]:[PL Received
Date]])=3,"OK","")</f>
        <v/>
      </c>
      <c r="H235" s="44" t="str">
        <f>IF(systemtable[[#This Row],[REJECTED]]&gt;0,"Status5","status"&amp;COUNT(systemtable[[#This Row],[RFI Issued Date]:[PL Received
Date]])+1)</f>
        <v>status1</v>
      </c>
      <c r="I235" s="45"/>
      <c r="J235" s="45"/>
      <c r="K235" s="45"/>
      <c r="L235" s="46"/>
    </row>
    <row r="236" spans="1:12">
      <c r="A236" s="4" t="s">
        <v>261</v>
      </c>
      <c r="B236" s="41" t="s">
        <v>263</v>
      </c>
      <c r="C236" s="55">
        <f>systemtable[[#This Row],[MC Forecast date]]-7</f>
        <v>44501</v>
      </c>
      <c r="D236" s="51">
        <f>systemtable[[#This Row],[Commissioning Forecast Date]]-7</f>
        <v>44508</v>
      </c>
      <c r="E236" s="55">
        <v>44515</v>
      </c>
      <c r="F236" s="35" t="s">
        <v>588</v>
      </c>
      <c r="G236" s="43" t="str">
        <f>IF(COUNT(systemtable[[#This Row],[RFI Issued Date]:[PL Received
Date]])=3,"OK","")</f>
        <v/>
      </c>
      <c r="H236" s="44" t="str">
        <f>IF(systemtable[[#This Row],[REJECTED]]&gt;0,"Status5","status"&amp;COUNT(systemtable[[#This Row],[RFI Issued Date]:[PL Received
Date]])+1)</f>
        <v>status1</v>
      </c>
      <c r="I236" s="45"/>
      <c r="J236" s="45"/>
      <c r="K236" s="45"/>
      <c r="L236" s="46"/>
    </row>
    <row r="237" spans="1:12">
      <c r="A237" s="4" t="s">
        <v>256</v>
      </c>
      <c r="B237" s="56" t="s">
        <v>255</v>
      </c>
      <c r="C237" s="55">
        <f>systemtable[[#This Row],[MC Forecast date]]-7</f>
        <v>44501</v>
      </c>
      <c r="D237" s="51">
        <f>systemtable[[#This Row],[Commissioning Forecast Date]]-7</f>
        <v>44508</v>
      </c>
      <c r="E237" s="55">
        <v>44515</v>
      </c>
      <c r="F237" s="35" t="s">
        <v>588</v>
      </c>
      <c r="G237" s="43" t="str">
        <f>IF(COUNT(systemtable[[#This Row],[RFI Issued Date]:[PL Received
Date]])=3,"OK","")</f>
        <v/>
      </c>
      <c r="H237" s="44" t="str">
        <f>IF(systemtable[[#This Row],[REJECTED]]&gt;0,"Status5","status"&amp;COUNT(systemtable[[#This Row],[RFI Issued Date]:[PL Received
Date]])+1)</f>
        <v>status1</v>
      </c>
      <c r="I237" s="45"/>
      <c r="J237" s="45"/>
      <c r="K237" s="45"/>
      <c r="L237" s="46"/>
    </row>
    <row r="238" spans="1:12">
      <c r="A238" s="4" t="s">
        <v>73</v>
      </c>
      <c r="B238" s="66" t="s">
        <v>72</v>
      </c>
      <c r="C238" s="55">
        <f>systemtable[[#This Row],[MC Forecast date]]-7</f>
        <v>44515</v>
      </c>
      <c r="D238" s="51">
        <f>systemtable[[#This Row],[Commissioning Forecast Date]]-7</f>
        <v>44522</v>
      </c>
      <c r="E238" s="55">
        <v>44529</v>
      </c>
      <c r="F238" s="35" t="s">
        <v>570</v>
      </c>
      <c r="G238" s="28" t="str">
        <f>IF(COUNT(systemtable[[#This Row],[RFI Issued Date]:[PL Received
Date]])=3,"OK","")</f>
        <v/>
      </c>
      <c r="H238" s="44" t="str">
        <f>IF(systemtable[[#This Row],[REJECTED]]&gt;0,"Status5","status"&amp;COUNT(systemtable[[#This Row],[RFI Issued Date]:[PL Received
Date]])+1)</f>
        <v>status1</v>
      </c>
      <c r="I238" s="29"/>
      <c r="J238" s="29"/>
      <c r="K238" s="29"/>
      <c r="L238" s="46"/>
    </row>
    <row r="239" spans="1:12">
      <c r="A239" s="4" t="s">
        <v>76</v>
      </c>
      <c r="B239" s="58" t="s">
        <v>75</v>
      </c>
      <c r="C239" s="55">
        <f>systemtable[[#This Row],[MC Forecast date]]-7</f>
        <v>44515</v>
      </c>
      <c r="D239" s="51">
        <f>systemtable[[#This Row],[Commissioning Forecast Date]]-7</f>
        <v>44522</v>
      </c>
      <c r="E239" s="55">
        <v>44529</v>
      </c>
      <c r="F239" s="35" t="s">
        <v>570</v>
      </c>
      <c r="G239" s="28" t="str">
        <f>IF(COUNT(systemtable[[#This Row],[RFI Issued Date]:[PL Received
Date]])=3,"OK","")</f>
        <v/>
      </c>
      <c r="H239" s="44" t="str">
        <f>IF(systemtable[[#This Row],[REJECTED]]&gt;0,"Status5","status"&amp;COUNT(systemtable[[#This Row],[RFI Issued Date]:[PL Received
Date]])+1)</f>
        <v>status1</v>
      </c>
      <c r="I239" s="29"/>
      <c r="J239" s="29"/>
      <c r="K239" s="29"/>
      <c r="L239" s="46"/>
    </row>
    <row r="240" spans="1:12">
      <c r="A240" s="4" t="s">
        <v>79</v>
      </c>
      <c r="B240" s="58" t="s">
        <v>78</v>
      </c>
      <c r="C240" s="55">
        <f>systemtable[[#This Row],[MC Forecast date]]-7</f>
        <v>44515</v>
      </c>
      <c r="D240" s="51">
        <f>systemtable[[#This Row],[Commissioning Forecast Date]]-7</f>
        <v>44522</v>
      </c>
      <c r="E240" s="55">
        <v>44529</v>
      </c>
      <c r="F240" s="35" t="s">
        <v>570</v>
      </c>
      <c r="G240" s="28" t="str">
        <f>IF(COUNT(systemtable[[#This Row],[RFI Issued Date]:[PL Received
Date]])=3,"OK","")</f>
        <v/>
      </c>
      <c r="H240" s="44" t="str">
        <f>IF(systemtable[[#This Row],[REJECTED]]&gt;0,"Status5","status"&amp;COUNT(systemtable[[#This Row],[RFI Issued Date]:[PL Received
Date]])+1)</f>
        <v>status1</v>
      </c>
      <c r="I240" s="29"/>
      <c r="J240" s="29"/>
      <c r="K240" s="29"/>
      <c r="L240" s="46"/>
    </row>
    <row r="241" spans="1:12">
      <c r="A241" s="4" t="s">
        <v>82</v>
      </c>
      <c r="B241" s="58" t="s">
        <v>81</v>
      </c>
      <c r="C241" s="55">
        <f>systemtable[[#This Row],[MC Forecast date]]-7</f>
        <v>44515</v>
      </c>
      <c r="D241" s="51">
        <f>systemtable[[#This Row],[Commissioning Forecast Date]]-7</f>
        <v>44522</v>
      </c>
      <c r="E241" s="55">
        <v>44529</v>
      </c>
      <c r="F241" s="35" t="s">
        <v>570</v>
      </c>
      <c r="G241" s="28" t="str">
        <f>IF(COUNT(systemtable[[#This Row],[RFI Issued Date]:[PL Received
Date]])=3,"OK","")</f>
        <v/>
      </c>
      <c r="H241" s="44" t="str">
        <f>IF(systemtable[[#This Row],[REJECTED]]&gt;0,"Status5","status"&amp;COUNT(systemtable[[#This Row],[RFI Issued Date]:[PL Received
Date]])+1)</f>
        <v>status1</v>
      </c>
      <c r="I241" s="29"/>
      <c r="J241" s="29"/>
      <c r="K241" s="29"/>
      <c r="L241" s="46"/>
    </row>
    <row r="242" spans="1:12">
      <c r="A242" s="4" t="s">
        <v>55</v>
      </c>
      <c r="B242" s="35" t="s">
        <v>54</v>
      </c>
      <c r="C242" s="55">
        <f>systemtable[[#This Row],[MC Forecast date]]-7</f>
        <v>44529</v>
      </c>
      <c r="D242" s="51">
        <f>systemtable[[#This Row],[Commissioning Forecast Date]]-7</f>
        <v>44536</v>
      </c>
      <c r="E242" s="55">
        <v>44543</v>
      </c>
      <c r="F242" s="35" t="s">
        <v>569</v>
      </c>
      <c r="G242" s="28" t="str">
        <f>IF(COUNT(systemtable[[#This Row],[RFI Issued Date]:[PL Received
Date]])=3,"OK","")</f>
        <v/>
      </c>
      <c r="H242" s="44" t="str">
        <f>IF(systemtable[[#This Row],[REJECTED]]&gt;0,"Status5","status"&amp;COUNT(systemtable[[#This Row],[RFI Issued Date]:[PL Received
Date]])+1)</f>
        <v>status1</v>
      </c>
      <c r="I242" s="29"/>
      <c r="J242" s="29"/>
      <c r="K242" s="29"/>
      <c r="L242" s="46"/>
    </row>
    <row r="243" spans="1:12">
      <c r="A243" s="4" t="s">
        <v>57</v>
      </c>
      <c r="B243" s="35" t="s">
        <v>625</v>
      </c>
      <c r="C243" s="55">
        <f>systemtable[[#This Row],[MC Forecast date]]-7</f>
        <v>44529</v>
      </c>
      <c r="D243" s="51">
        <f>systemtable[[#This Row],[Commissioning Forecast Date]]-7</f>
        <v>44536</v>
      </c>
      <c r="E243" s="55">
        <v>44543</v>
      </c>
      <c r="F243" s="35" t="s">
        <v>569</v>
      </c>
      <c r="G243" s="28" t="str">
        <f>IF(COUNT(systemtable[[#This Row],[RFI Issued Date]:[PL Received
Date]])=3,"OK","")</f>
        <v/>
      </c>
      <c r="H243" s="44" t="str">
        <f>IF(systemtable[[#This Row],[REJECTED]]&gt;0,"Status5","status"&amp;COUNT(systemtable[[#This Row],[RFI Issued Date]:[PL Received
Date]])+1)</f>
        <v>status1</v>
      </c>
      <c r="I243" s="29"/>
      <c r="J243" s="29"/>
      <c r="K243" s="29"/>
      <c r="L243" s="46"/>
    </row>
    <row r="244" spans="1:12">
      <c r="A244" s="4" t="s">
        <v>60</v>
      </c>
      <c r="B244" s="35" t="s">
        <v>59</v>
      </c>
      <c r="C244" s="55">
        <f>systemtable[[#This Row],[MC Forecast date]]-7</f>
        <v>44529</v>
      </c>
      <c r="D244" s="51">
        <f>systemtable[[#This Row],[Commissioning Forecast Date]]-7</f>
        <v>44536</v>
      </c>
      <c r="E244" s="55">
        <v>44543</v>
      </c>
      <c r="F244" s="35" t="s">
        <v>569</v>
      </c>
      <c r="G244" s="28" t="str">
        <f>IF(COUNT(systemtable[[#This Row],[RFI Issued Date]:[PL Received
Date]])=3,"OK","")</f>
        <v/>
      </c>
      <c r="H244" s="44" t="str">
        <f>IF(systemtable[[#This Row],[REJECTED]]&gt;0,"Status5","status"&amp;COUNT(systemtable[[#This Row],[RFI Issued Date]:[PL Received
Date]])+1)</f>
        <v>status1</v>
      </c>
      <c r="I244" s="29"/>
      <c r="J244" s="29"/>
      <c r="K244" s="29"/>
      <c r="L244" s="46"/>
    </row>
    <row r="245" spans="1:12">
      <c r="A245" s="4" t="s">
        <v>63</v>
      </c>
      <c r="B245" s="35" t="s">
        <v>62</v>
      </c>
      <c r="C245" s="55">
        <f>systemtable[[#This Row],[MC Forecast date]]-7</f>
        <v>44529</v>
      </c>
      <c r="D245" s="51">
        <f>systemtable[[#This Row],[Commissioning Forecast Date]]-7</f>
        <v>44536</v>
      </c>
      <c r="E245" s="55">
        <v>44543</v>
      </c>
      <c r="F245" s="35" t="s">
        <v>569</v>
      </c>
      <c r="G245" s="28" t="str">
        <f>IF(COUNT(systemtable[[#This Row],[RFI Issued Date]:[PL Received
Date]])=3,"OK","")</f>
        <v/>
      </c>
      <c r="H245" s="44" t="str">
        <f>IF(systemtable[[#This Row],[REJECTED]]&gt;0,"Status5","status"&amp;COUNT(systemtable[[#This Row],[RFI Issued Date]:[PL Received
Date]])+1)</f>
        <v>status1</v>
      </c>
      <c r="I245" s="29"/>
      <c r="J245" s="29"/>
      <c r="K245" s="29"/>
      <c r="L245" s="46"/>
    </row>
    <row r="246" spans="1:12">
      <c r="A246" s="4" t="s">
        <v>65</v>
      </c>
      <c r="B246" s="58" t="s">
        <v>64</v>
      </c>
      <c r="C246" s="55">
        <f>systemtable[[#This Row],[MC Forecast date]]-7</f>
        <v>44529</v>
      </c>
      <c r="D246" s="51">
        <f>systemtable[[#This Row],[Commissioning Forecast Date]]-7</f>
        <v>44536</v>
      </c>
      <c r="E246" s="55">
        <v>44543</v>
      </c>
      <c r="F246" s="35" t="s">
        <v>569</v>
      </c>
      <c r="G246" s="28" t="str">
        <f>IF(COUNT(systemtable[[#This Row],[RFI Issued Date]:[PL Received
Date]])=3,"OK","")</f>
        <v/>
      </c>
      <c r="H246" s="44" t="str">
        <f>IF(systemtable[[#This Row],[REJECTED]]&gt;0,"Status5","status"&amp;COUNT(systemtable[[#This Row],[RFI Issued Date]:[PL Received
Date]])+1)</f>
        <v>status1</v>
      </c>
      <c r="I246" s="29"/>
      <c r="J246" s="29"/>
      <c r="K246" s="29"/>
      <c r="L246" s="46"/>
    </row>
    <row r="247" spans="1:12">
      <c r="A247" s="4" t="s">
        <v>101</v>
      </c>
      <c r="B247" s="35" t="s">
        <v>100</v>
      </c>
      <c r="C247" s="55">
        <f>systemtable[[#This Row],[MC Forecast date]]-7</f>
        <v>44529</v>
      </c>
      <c r="D247" s="51">
        <f>systemtable[[#This Row],[Commissioning Forecast Date]]-7</f>
        <v>44536</v>
      </c>
      <c r="E247" s="55">
        <v>44543</v>
      </c>
      <c r="F247" s="35" t="s">
        <v>572</v>
      </c>
      <c r="G247" s="28" t="str">
        <f>IF(COUNT(systemtable[[#This Row],[RFI Issued Date]:[PL Received
Date]])=3,"OK","")</f>
        <v/>
      </c>
      <c r="H247" s="44" t="str">
        <f>IF(systemtable[[#This Row],[REJECTED]]&gt;0,"Status5","status"&amp;COUNT(systemtable[[#This Row],[RFI Issued Date]:[PL Received
Date]])+1)</f>
        <v>status1</v>
      </c>
      <c r="I247" s="29"/>
      <c r="J247" s="29"/>
      <c r="K247" s="29"/>
      <c r="L247" s="46"/>
    </row>
    <row r="248" spans="1:12">
      <c r="A248" s="4" t="s">
        <v>143</v>
      </c>
      <c r="B248" s="35" t="s">
        <v>632</v>
      </c>
      <c r="C248" s="55">
        <f>systemtable[[#This Row],[MC Forecast date]]-7</f>
        <v>44529</v>
      </c>
      <c r="D248" s="51">
        <f>systemtable[[#This Row],[Commissioning Forecast Date]]-7</f>
        <v>44536</v>
      </c>
      <c r="E248" s="55">
        <v>44543</v>
      </c>
      <c r="F248" s="35" t="s">
        <v>576</v>
      </c>
      <c r="G248" s="43" t="str">
        <f>IF(COUNT(systemtable[[#This Row],[RFI Issued Date]:[PL Received
Date]])=3,"OK","")</f>
        <v/>
      </c>
      <c r="H248" s="44" t="str">
        <f>IF(systemtable[[#This Row],[REJECTED]]&gt;0,"Status5","status"&amp;COUNT(systemtable[[#This Row],[RFI Issued Date]:[PL Received
Date]])+1)</f>
        <v>status1</v>
      </c>
      <c r="I248" s="45"/>
      <c r="J248" s="45"/>
      <c r="K248" s="45"/>
      <c r="L248" s="46"/>
    </row>
    <row r="249" spans="1:12">
      <c r="A249" s="4" t="s">
        <v>158</v>
      </c>
      <c r="B249" s="35" t="s">
        <v>157</v>
      </c>
      <c r="C249" s="55">
        <f>systemtable[[#This Row],[MC Forecast date]]-7</f>
        <v>44529</v>
      </c>
      <c r="D249" s="51">
        <f>systemtable[[#This Row],[Commissioning Forecast Date]]-7</f>
        <v>44536</v>
      </c>
      <c r="E249" s="55">
        <v>44543</v>
      </c>
      <c r="F249" s="35" t="s">
        <v>579</v>
      </c>
      <c r="G249" s="43" t="str">
        <f>IF(COUNT(systemtable[[#This Row],[RFI Issued Date]:[PL Received
Date]])=3,"OK","")</f>
        <v/>
      </c>
      <c r="H249" s="44" t="str">
        <f>IF(systemtable[[#This Row],[REJECTED]]&gt;0,"Status5","status"&amp;COUNT(systemtable[[#This Row],[RFI Issued Date]:[PL Received
Date]])+1)</f>
        <v>status1</v>
      </c>
      <c r="I249" s="45"/>
      <c r="J249" s="45"/>
      <c r="K249" s="45"/>
      <c r="L249" s="46"/>
    </row>
    <row r="250" spans="1:12">
      <c r="A250" s="4" t="s">
        <v>324</v>
      </c>
      <c r="B250" s="58" t="s">
        <v>283</v>
      </c>
      <c r="C250" s="55">
        <f>systemtable[[#This Row],[MC Forecast date]]-7</f>
        <v>44529</v>
      </c>
      <c r="D250" s="51">
        <f>systemtable[[#This Row],[Commissioning Forecast Date]]-7</f>
        <v>44536</v>
      </c>
      <c r="E250" s="55">
        <v>44543</v>
      </c>
      <c r="F250" s="35" t="s">
        <v>601</v>
      </c>
      <c r="G250" s="43" t="str">
        <f>IF(COUNT(systemtable[[#This Row],[RFI Issued Date]:[PL Received
Date]])=3,"OK","")</f>
        <v/>
      </c>
      <c r="H250" s="44" t="str">
        <f>IF(systemtable[[#This Row],[REJECTED]]&gt;0,"Status5","status"&amp;COUNT(systemtable[[#This Row],[RFI Issued Date]:[PL Received
Date]])+1)</f>
        <v>status1</v>
      </c>
      <c r="I250" s="45"/>
      <c r="J250" s="45"/>
      <c r="K250" s="45"/>
      <c r="L250" s="46"/>
    </row>
    <row r="251" spans="1:12">
      <c r="A251" s="4" t="s">
        <v>326</v>
      </c>
      <c r="B251" s="58" t="s">
        <v>289</v>
      </c>
      <c r="C251" s="55">
        <f>systemtable[[#This Row],[MC Forecast date]]-7</f>
        <v>44529</v>
      </c>
      <c r="D251" s="51">
        <f>systemtable[[#This Row],[Commissioning Forecast Date]]-7</f>
        <v>44536</v>
      </c>
      <c r="E251" s="55">
        <v>44543</v>
      </c>
      <c r="F251" s="35" t="s">
        <v>602</v>
      </c>
      <c r="G251" s="43" t="str">
        <f>IF(COUNT(systemtable[[#This Row],[RFI Issued Date]:[PL Received
Date]])=3,"OK","")</f>
        <v/>
      </c>
      <c r="H251" s="44" t="str">
        <f>IF(systemtable[[#This Row],[REJECTED]]&gt;0,"Status5","status"&amp;COUNT(systemtable[[#This Row],[RFI Issued Date]:[PL Received
Date]])+1)</f>
        <v>status1</v>
      </c>
      <c r="I251" s="45"/>
      <c r="J251" s="45"/>
      <c r="K251" s="45"/>
      <c r="L251" s="46"/>
    </row>
    <row r="252" spans="1:12">
      <c r="A252" s="4" t="s">
        <v>325</v>
      </c>
      <c r="B252" s="58" t="s">
        <v>285</v>
      </c>
      <c r="C252" s="55">
        <f>systemtable[[#This Row],[MC Forecast date]]-7</f>
        <v>44529</v>
      </c>
      <c r="D252" s="51">
        <f>systemtable[[#This Row],[Commissioning Forecast Date]]-7</f>
        <v>44536</v>
      </c>
      <c r="E252" s="55">
        <v>44543</v>
      </c>
      <c r="F252" s="35" t="s">
        <v>601</v>
      </c>
      <c r="G252" s="43" t="str">
        <f>IF(COUNT(systemtable[[#This Row],[RFI Issued Date]:[PL Received
Date]])=3,"OK","")</f>
        <v/>
      </c>
      <c r="H252" s="44" t="str">
        <f>IF(systemtable[[#This Row],[REJECTED]]&gt;0,"Status5","status"&amp;COUNT(systemtable[[#This Row],[RFI Issued Date]:[PL Received
Date]])+1)</f>
        <v>status1</v>
      </c>
      <c r="I252" s="45"/>
      <c r="J252" s="45"/>
      <c r="K252" s="45"/>
      <c r="L252" s="46"/>
    </row>
    <row r="253" spans="1:12">
      <c r="A253" s="4" t="s">
        <v>90</v>
      </c>
      <c r="B253" s="35" t="s">
        <v>89</v>
      </c>
      <c r="C253" s="55">
        <f>systemtable[[#This Row],[MC Forecast date]]-7</f>
        <v>44529</v>
      </c>
      <c r="D253" s="51">
        <f>systemtable[[#This Row],[Commissioning Forecast Date]]-7</f>
        <v>44536</v>
      </c>
      <c r="E253" s="55">
        <v>44543</v>
      </c>
      <c r="F253" s="35" t="s">
        <v>572</v>
      </c>
      <c r="G253" s="28" t="str">
        <f>IF(COUNT(systemtable[[#This Row],[RFI Issued Date]:[PL Received
Date]])=3,"OK","")</f>
        <v/>
      </c>
      <c r="H253" s="44" t="str">
        <f>IF(systemtable[[#This Row],[REJECTED]]&gt;0,"Status5","status"&amp;COUNT(systemtable[[#This Row],[RFI Issued Date]:[PL Received
Date]])+1)</f>
        <v>status1</v>
      </c>
      <c r="I253" s="29"/>
      <c r="J253" s="29"/>
      <c r="K253" s="29"/>
      <c r="L253" s="46"/>
    </row>
    <row r="254" spans="1:12">
      <c r="A254" s="4" t="s">
        <v>153</v>
      </c>
      <c r="B254" s="58" t="s">
        <v>152</v>
      </c>
      <c r="C254" s="55">
        <f>systemtable[[#This Row],[MC Forecast date]]-7</f>
        <v>44529</v>
      </c>
      <c r="D254" s="51">
        <f>systemtable[[#This Row],[Commissioning Forecast Date]]-7</f>
        <v>44536</v>
      </c>
      <c r="E254" s="55">
        <v>44543</v>
      </c>
      <c r="F254" s="35" t="s">
        <v>579</v>
      </c>
      <c r="G254" s="43" t="str">
        <f>IF(COUNT(systemtable[[#This Row],[RFI Issued Date]:[PL Received
Date]])=3,"OK","")</f>
        <v/>
      </c>
      <c r="H254" s="44" t="str">
        <f>IF(systemtable[[#This Row],[REJECTED]]&gt;0,"Status5","status"&amp;COUNT(systemtable[[#This Row],[RFI Issued Date]:[PL Received
Date]])+1)</f>
        <v>status1</v>
      </c>
      <c r="I254" s="45"/>
      <c r="J254" s="45"/>
      <c r="K254" s="45"/>
      <c r="L254" s="46"/>
    </row>
    <row r="255" spans="1:12">
      <c r="A255" s="4" t="s">
        <v>327</v>
      </c>
      <c r="B255" s="58" t="s">
        <v>292</v>
      </c>
      <c r="C255" s="55">
        <f>systemtable[[#This Row],[MC Forecast date]]-7</f>
        <v>44529</v>
      </c>
      <c r="D255" s="51">
        <f>systemtable[[#This Row],[Commissioning Forecast Date]]-7</f>
        <v>44536</v>
      </c>
      <c r="E255" s="55">
        <v>44543</v>
      </c>
      <c r="F255" s="35" t="s">
        <v>602</v>
      </c>
      <c r="G255" s="43" t="str">
        <f>IF(COUNT(systemtable[[#This Row],[RFI Issued Date]:[PL Received
Date]])=3,"OK","")</f>
        <v/>
      </c>
      <c r="H255" s="44" t="str">
        <f>IF(systemtable[[#This Row],[REJECTED]]&gt;0,"Status5","status"&amp;COUNT(systemtable[[#This Row],[RFI Issued Date]:[PL Received
Date]])+1)</f>
        <v>status1</v>
      </c>
      <c r="I255" s="45"/>
      <c r="J255" s="45"/>
      <c r="K255" s="45"/>
      <c r="L255" s="46"/>
    </row>
    <row r="256" spans="1:12">
      <c r="A256" s="30" t="s">
        <v>29</v>
      </c>
      <c r="B256" s="67" t="s">
        <v>28</v>
      </c>
      <c r="C256" s="55">
        <f>systemtable[[#This Row],[MC Forecast date]]-7</f>
        <v>44529</v>
      </c>
      <c r="D256" s="51">
        <f>systemtable[[#This Row],[Commissioning Forecast Date]]-7</f>
        <v>44536</v>
      </c>
      <c r="E256" s="55">
        <v>44543</v>
      </c>
      <c r="F256" s="35" t="s">
        <v>569</v>
      </c>
      <c r="G256" s="28" t="str">
        <f>IF(COUNT(systemtable[[#This Row],[RFI Issued Date]:[PL Received
Date]])=3,"OK","")</f>
        <v/>
      </c>
      <c r="H256" s="44" t="str">
        <f>IF(systemtable[[#This Row],[REJECTED]]&gt;0,"Status5","status"&amp;COUNT(systemtable[[#This Row],[RFI Issued Date]:[PL Received
Date]])+1)</f>
        <v>status1</v>
      </c>
      <c r="I256" s="29"/>
      <c r="J256" s="29"/>
      <c r="K256" s="29"/>
      <c r="L256" s="46"/>
    </row>
    <row r="257" spans="1:12">
      <c r="A257" s="30" t="s">
        <v>26</v>
      </c>
      <c r="B257" s="65" t="s">
        <v>25</v>
      </c>
      <c r="C257" s="55">
        <f>systemtable[[#This Row],[MC Forecast date]]-7</f>
        <v>44529</v>
      </c>
      <c r="D257" s="51">
        <f>systemtable[[#This Row],[Commissioning Forecast Date]]-7</f>
        <v>44536</v>
      </c>
      <c r="E257" s="55">
        <v>44543</v>
      </c>
      <c r="F257" s="35" t="s">
        <v>569</v>
      </c>
      <c r="G257" s="28" t="str">
        <f>IF(COUNT(systemtable[[#This Row],[RFI Issued Date]:[PL Received
Date]])=3,"OK","")</f>
        <v/>
      </c>
      <c r="H257" s="44" t="str">
        <f>IF(systemtable[[#This Row],[REJECTED]]&gt;0,"Status5","status"&amp;COUNT(systemtable[[#This Row],[RFI Issued Date]:[PL Received
Date]])+1)</f>
        <v>status1</v>
      </c>
      <c r="I257" s="29"/>
      <c r="J257" s="29"/>
      <c r="K257" s="29"/>
      <c r="L257" s="46"/>
    </row>
    <row r="258" spans="1:12">
      <c r="A258" s="30" t="s">
        <v>32</v>
      </c>
      <c r="B258" s="65" t="s">
        <v>31</v>
      </c>
      <c r="C258" s="55">
        <f>systemtable[[#This Row],[MC Forecast date]]-7</f>
        <v>44529</v>
      </c>
      <c r="D258" s="51">
        <f>systemtable[[#This Row],[Commissioning Forecast Date]]-7</f>
        <v>44536</v>
      </c>
      <c r="E258" s="55">
        <v>44543</v>
      </c>
      <c r="F258" s="35" t="s">
        <v>569</v>
      </c>
      <c r="G258" s="28" t="str">
        <f>IF(COUNT(systemtable[[#This Row],[RFI Issued Date]:[PL Received
Date]])=3,"OK","")</f>
        <v/>
      </c>
      <c r="H258" s="44" t="str">
        <f>IF(systemtable[[#This Row],[REJECTED]]&gt;0,"Status5","status"&amp;COUNT(systemtable[[#This Row],[RFI Issued Date]:[PL Received
Date]])+1)</f>
        <v>status1</v>
      </c>
      <c r="I258" s="29"/>
      <c r="J258" s="29"/>
      <c r="K258" s="29"/>
      <c r="L258" s="46"/>
    </row>
    <row r="259" spans="1:12">
      <c r="A259" s="4" t="s">
        <v>156</v>
      </c>
      <c r="B259" s="58" t="s">
        <v>155</v>
      </c>
      <c r="C259" s="55">
        <f>systemtable[[#This Row],[MC Forecast date]]-7</f>
        <v>44529</v>
      </c>
      <c r="D259" s="51">
        <f>systemtable[[#This Row],[Commissioning Forecast Date]]-7</f>
        <v>44536</v>
      </c>
      <c r="E259" s="55">
        <v>44543</v>
      </c>
      <c r="F259" s="35" t="s">
        <v>579</v>
      </c>
      <c r="G259" s="43" t="str">
        <f>IF(COUNT(systemtable[[#This Row],[RFI Issued Date]:[PL Received
Date]])=3,"OK","")</f>
        <v/>
      </c>
      <c r="H259" s="44" t="str">
        <f>IF(systemtable[[#This Row],[REJECTED]]&gt;0,"Status5","status"&amp;COUNT(systemtable[[#This Row],[RFI Issued Date]:[PL Received
Date]])+1)</f>
        <v>status1</v>
      </c>
      <c r="I259" s="45"/>
      <c r="J259" s="45"/>
      <c r="K259" s="45"/>
      <c r="L259" s="46"/>
    </row>
    <row r="260" spans="1:12">
      <c r="A260" s="4" t="s">
        <v>35</v>
      </c>
      <c r="B260" s="58" t="s">
        <v>34</v>
      </c>
      <c r="C260" s="55">
        <f>systemtable[[#This Row],[MC Forecast date]]-7</f>
        <v>44529</v>
      </c>
      <c r="D260" s="51">
        <f>systemtable[[#This Row],[Commissioning Forecast Date]]-7</f>
        <v>44536</v>
      </c>
      <c r="E260" s="55">
        <v>44543</v>
      </c>
      <c r="F260" s="35" t="s">
        <v>569</v>
      </c>
      <c r="G260" s="28" t="str">
        <f>IF(COUNT(systemtable[[#This Row],[RFI Issued Date]:[PL Received
Date]])=3,"OK","")</f>
        <v/>
      </c>
      <c r="H260" s="44" t="str">
        <f>IF(systemtable[[#This Row],[REJECTED]]&gt;0,"Status5","status"&amp;COUNT(systemtable[[#This Row],[RFI Issued Date]:[PL Received
Date]])+1)</f>
        <v>status1</v>
      </c>
      <c r="I260" s="29"/>
      <c r="J260" s="29"/>
      <c r="K260" s="29"/>
      <c r="L260" s="46"/>
    </row>
    <row r="261" spans="1:12">
      <c r="A261" s="4" t="s">
        <v>92</v>
      </c>
      <c r="B261" s="58" t="s">
        <v>91</v>
      </c>
      <c r="C261" s="55">
        <f>systemtable[[#This Row],[MC Forecast date]]-7</f>
        <v>44529</v>
      </c>
      <c r="D261" s="51">
        <f>systemtable[[#This Row],[Commissioning Forecast Date]]-7</f>
        <v>44536</v>
      </c>
      <c r="E261" s="55">
        <v>44543</v>
      </c>
      <c r="F261" s="35" t="s">
        <v>572</v>
      </c>
      <c r="G261" s="28" t="str">
        <f>IF(COUNT(systemtable[[#This Row],[RFI Issued Date]:[PL Received
Date]])=3,"OK","")</f>
        <v/>
      </c>
      <c r="H261" s="44" t="str">
        <f>IF(systemtable[[#This Row],[REJECTED]]&gt;0,"Status5","status"&amp;COUNT(systemtable[[#This Row],[RFI Issued Date]:[PL Received
Date]])+1)</f>
        <v>status1</v>
      </c>
      <c r="I261" s="29"/>
      <c r="J261" s="29"/>
      <c r="K261" s="29"/>
      <c r="L261" s="46"/>
    </row>
    <row r="262" spans="1:12">
      <c r="A262" s="30" t="s">
        <v>23</v>
      </c>
      <c r="B262" s="65" t="s">
        <v>22</v>
      </c>
      <c r="C262" s="55">
        <f>systemtable[[#This Row],[MC Forecast date]]-7</f>
        <v>44529</v>
      </c>
      <c r="D262" s="51">
        <f>systemtable[[#This Row],[Commissioning Forecast Date]]-7</f>
        <v>44536</v>
      </c>
      <c r="E262" s="55">
        <v>44543</v>
      </c>
      <c r="F262" s="35" t="s">
        <v>569</v>
      </c>
      <c r="G262" s="28"/>
      <c r="H262" s="44" t="str">
        <f>IF(systemtable[[#This Row],[REJECTED]]&gt;0,"Status5","status"&amp;COUNT(systemtable[[#This Row],[RFI Issued Date]:[PL Received
Date]])+1)</f>
        <v>status1</v>
      </c>
      <c r="I262" s="29"/>
      <c r="J262" s="29"/>
      <c r="K262" s="29"/>
      <c r="L262" s="46"/>
    </row>
    <row r="263" spans="1:12">
      <c r="A263" s="4" t="s">
        <v>38</v>
      </c>
      <c r="B263" s="58" t="s">
        <v>37</v>
      </c>
      <c r="C263" s="55">
        <f>systemtable[[#This Row],[MC Forecast date]]-7</f>
        <v>44529</v>
      </c>
      <c r="D263" s="51">
        <f>systemtable[[#This Row],[Commissioning Forecast Date]]-7</f>
        <v>44536</v>
      </c>
      <c r="E263" s="55">
        <v>44543</v>
      </c>
      <c r="F263" s="35" t="s">
        <v>569</v>
      </c>
      <c r="G263" s="28" t="str">
        <f>IF(COUNT(systemtable[[#This Row],[RFI Issued Date]:[PL Received
Date]])=3,"OK","")</f>
        <v/>
      </c>
      <c r="H263" s="44" t="str">
        <f>IF(systemtable[[#This Row],[REJECTED]]&gt;0,"Status5","status"&amp;COUNT(systemtable[[#This Row],[RFI Issued Date]:[PL Received
Date]])+1)</f>
        <v>status1</v>
      </c>
      <c r="I263" s="29"/>
      <c r="J263" s="29"/>
      <c r="K263" s="29"/>
      <c r="L263" s="46"/>
    </row>
    <row r="264" spans="1:12">
      <c r="A264" s="4" t="s">
        <v>95</v>
      </c>
      <c r="B264" s="58" t="s">
        <v>94</v>
      </c>
      <c r="C264" s="55">
        <f>systemtable[[#This Row],[MC Forecast date]]-7</f>
        <v>44529</v>
      </c>
      <c r="D264" s="51">
        <f>systemtable[[#This Row],[Commissioning Forecast Date]]-7</f>
        <v>44536</v>
      </c>
      <c r="E264" s="55">
        <v>44543</v>
      </c>
      <c r="F264" s="35" t="s">
        <v>572</v>
      </c>
      <c r="G264" s="28" t="str">
        <f>IF(COUNT(systemtable[[#This Row],[RFI Issued Date]:[PL Received
Date]])=3,"OK","")</f>
        <v/>
      </c>
      <c r="H264" s="44" t="str">
        <f>IF(systemtable[[#This Row],[REJECTED]]&gt;0,"Status5","status"&amp;COUNT(systemtable[[#This Row],[RFI Issued Date]:[PL Received
Date]])+1)</f>
        <v>status1</v>
      </c>
      <c r="I264" s="29"/>
      <c r="J264" s="29"/>
      <c r="K264" s="29"/>
      <c r="L264" s="46"/>
    </row>
    <row r="265" spans="1:12">
      <c r="A265" s="4" t="s">
        <v>41</v>
      </c>
      <c r="B265" s="58" t="s">
        <v>40</v>
      </c>
      <c r="C265" s="55">
        <f>systemtable[[#This Row],[MC Forecast date]]-7</f>
        <v>44529</v>
      </c>
      <c r="D265" s="51">
        <f>systemtable[[#This Row],[Commissioning Forecast Date]]-7</f>
        <v>44536</v>
      </c>
      <c r="E265" s="55">
        <v>44543</v>
      </c>
      <c r="F265" s="35" t="s">
        <v>569</v>
      </c>
      <c r="G265" s="28" t="str">
        <f>IF(COUNT(systemtable[[#This Row],[RFI Issued Date]:[PL Received
Date]])=3,"OK","")</f>
        <v/>
      </c>
      <c r="H265" s="44" t="str">
        <f>IF(systemtable[[#This Row],[REJECTED]]&gt;0,"Status5","status"&amp;COUNT(systemtable[[#This Row],[RFI Issued Date]:[PL Received
Date]])+1)</f>
        <v>status1</v>
      </c>
      <c r="I265" s="29"/>
      <c r="J265" s="29"/>
      <c r="K265" s="29"/>
      <c r="L265" s="46"/>
    </row>
    <row r="266" spans="1:12">
      <c r="A266" s="4" t="s">
        <v>98</v>
      </c>
      <c r="B266" s="58" t="s">
        <v>97</v>
      </c>
      <c r="C266" s="55">
        <f>systemtable[[#This Row],[MC Forecast date]]-7</f>
        <v>44529</v>
      </c>
      <c r="D266" s="51">
        <f>systemtable[[#This Row],[Commissioning Forecast Date]]-7</f>
        <v>44536</v>
      </c>
      <c r="E266" s="55">
        <v>44543</v>
      </c>
      <c r="F266" s="35" t="s">
        <v>572</v>
      </c>
      <c r="G266" s="28" t="str">
        <f>IF(COUNT(systemtable[[#This Row],[RFI Issued Date]:[PL Received
Date]])=3,"OK","")</f>
        <v/>
      </c>
      <c r="H266" s="44" t="str">
        <f>IF(systemtable[[#This Row],[REJECTED]]&gt;0,"Status5","status"&amp;COUNT(systemtable[[#This Row],[RFI Issued Date]:[PL Received
Date]])+1)</f>
        <v>status1</v>
      </c>
      <c r="I266" s="29"/>
      <c r="J266" s="29"/>
      <c r="K266" s="29"/>
      <c r="L266" s="46"/>
    </row>
    <row r="267" spans="1:12">
      <c r="A267" s="4" t="s">
        <v>43</v>
      </c>
      <c r="B267" s="58" t="s">
        <v>42</v>
      </c>
      <c r="C267" s="55">
        <f>systemtable[[#This Row],[MC Forecast date]]-7</f>
        <v>44529</v>
      </c>
      <c r="D267" s="51">
        <f>systemtable[[#This Row],[Commissioning Forecast Date]]-7</f>
        <v>44536</v>
      </c>
      <c r="E267" s="55">
        <v>44543</v>
      </c>
      <c r="F267" s="35" t="s">
        <v>569</v>
      </c>
      <c r="G267" s="28" t="str">
        <f>IF(COUNT(systemtable[[#This Row],[RFI Issued Date]:[PL Received
Date]])=3,"OK","")</f>
        <v/>
      </c>
      <c r="H267" s="44" t="str">
        <f>IF(systemtable[[#This Row],[REJECTED]]&gt;0,"Status5","status"&amp;COUNT(systemtable[[#This Row],[RFI Issued Date]:[PL Received
Date]])+1)</f>
        <v>status1</v>
      </c>
      <c r="I267" s="29"/>
      <c r="J267" s="29"/>
      <c r="K267" s="29"/>
      <c r="L267" s="46"/>
    </row>
    <row r="268" spans="1:12">
      <c r="A268" s="4" t="s">
        <v>142</v>
      </c>
      <c r="B268" s="58" t="s">
        <v>141</v>
      </c>
      <c r="C268" s="55">
        <f>systemtable[[#This Row],[MC Forecast date]]-7</f>
        <v>44529</v>
      </c>
      <c r="D268" s="51">
        <f>systemtable[[#This Row],[Commissioning Forecast Date]]-7</f>
        <v>44536</v>
      </c>
      <c r="E268" s="55">
        <v>44543</v>
      </c>
      <c r="F268" s="35" t="s">
        <v>576</v>
      </c>
      <c r="G268" s="43" t="str">
        <f>IF(COUNT(systemtable[[#This Row],[RFI Issued Date]:[PL Received
Date]])=3,"OK","")</f>
        <v/>
      </c>
      <c r="H268" s="44" t="str">
        <f>IF(systemtable[[#This Row],[REJECTED]]&gt;0,"Status5","status"&amp;COUNT(systemtable[[#This Row],[RFI Issued Date]:[PL Received
Date]])+1)</f>
        <v>status1</v>
      </c>
      <c r="I268" s="45"/>
      <c r="J268" s="45"/>
      <c r="K268" s="45"/>
      <c r="L268" s="46"/>
    </row>
    <row r="269" spans="1:12">
      <c r="A269" s="4" t="s">
        <v>46</v>
      </c>
      <c r="B269" s="58" t="s">
        <v>45</v>
      </c>
      <c r="C269" s="55">
        <f>systemtable[[#This Row],[MC Forecast date]]-7</f>
        <v>44529</v>
      </c>
      <c r="D269" s="51">
        <f>systemtable[[#This Row],[Commissioning Forecast Date]]-7</f>
        <v>44536</v>
      </c>
      <c r="E269" s="55">
        <v>44543</v>
      </c>
      <c r="F269" s="35" t="s">
        <v>569</v>
      </c>
      <c r="G269" s="28" t="str">
        <f>IF(COUNT(systemtable[[#This Row],[RFI Issued Date]:[PL Received
Date]])=3,"OK","")</f>
        <v/>
      </c>
      <c r="H269" s="44" t="str">
        <f>IF(systemtable[[#This Row],[REJECTED]]&gt;0,"Status5","status"&amp;COUNT(systemtable[[#This Row],[RFI Issued Date]:[PL Received
Date]])+1)</f>
        <v>status1</v>
      </c>
      <c r="I269" s="29"/>
      <c r="J269" s="29"/>
      <c r="K269" s="29"/>
      <c r="L269" s="46"/>
    </row>
    <row r="270" spans="1:12">
      <c r="A270" s="4" t="s">
        <v>48</v>
      </c>
      <c r="B270" s="58" t="s">
        <v>47</v>
      </c>
      <c r="C270" s="55">
        <f>systemtable[[#This Row],[MC Forecast date]]-7</f>
        <v>44529</v>
      </c>
      <c r="D270" s="51">
        <f>systemtable[[#This Row],[Commissioning Forecast Date]]-7</f>
        <v>44536</v>
      </c>
      <c r="E270" s="55">
        <v>44543</v>
      </c>
      <c r="F270" s="35" t="s">
        <v>569</v>
      </c>
      <c r="G270" s="28" t="str">
        <f>IF(COUNT(systemtable[[#This Row],[RFI Issued Date]:[PL Received
Date]])=3,"OK","")</f>
        <v/>
      </c>
      <c r="H270" s="44" t="str">
        <f>IF(systemtable[[#This Row],[REJECTED]]&gt;0,"Status5","status"&amp;COUNT(systemtable[[#This Row],[RFI Issued Date]:[PL Received
Date]])+1)</f>
        <v>status1</v>
      </c>
      <c r="I270" s="29"/>
      <c r="J270" s="29"/>
      <c r="K270" s="29"/>
      <c r="L270" s="46"/>
    </row>
    <row r="271" spans="1:12">
      <c r="A271" s="4" t="s">
        <v>50</v>
      </c>
      <c r="B271" s="58" t="s">
        <v>49</v>
      </c>
      <c r="C271" s="55">
        <f>systemtable[[#This Row],[MC Forecast date]]-7</f>
        <v>44529</v>
      </c>
      <c r="D271" s="51">
        <f>systemtable[[#This Row],[Commissioning Forecast Date]]-7</f>
        <v>44536</v>
      </c>
      <c r="E271" s="55">
        <v>44543</v>
      </c>
      <c r="F271" s="35" t="s">
        <v>569</v>
      </c>
      <c r="G271" s="28" t="str">
        <f>IF(COUNT(systemtable[[#This Row],[RFI Issued Date]:[PL Received
Date]])=3,"OK","")</f>
        <v/>
      </c>
      <c r="H271" s="44" t="str">
        <f>IF(systemtable[[#This Row],[REJECTED]]&gt;0,"Status5","status"&amp;COUNT(systemtable[[#This Row],[RFI Issued Date]:[PL Received
Date]])+1)</f>
        <v>status1</v>
      </c>
      <c r="I271" s="29"/>
      <c r="J271" s="29"/>
      <c r="K271" s="29"/>
      <c r="L271" s="46"/>
    </row>
    <row r="272" spans="1:12">
      <c r="A272" s="4" t="s">
        <v>52</v>
      </c>
      <c r="B272" s="58" t="s">
        <v>51</v>
      </c>
      <c r="C272" s="55">
        <f>systemtable[[#This Row],[MC Forecast date]]-7</f>
        <v>44529</v>
      </c>
      <c r="D272" s="51">
        <f>systemtable[[#This Row],[Commissioning Forecast Date]]-7</f>
        <v>44536</v>
      </c>
      <c r="E272" s="55">
        <v>44543</v>
      </c>
      <c r="F272" s="35" t="s">
        <v>569</v>
      </c>
      <c r="G272" s="28" t="str">
        <f>IF(COUNT(systemtable[[#This Row],[RFI Issued Date]:[PL Received
Date]])=3,"OK","")</f>
        <v/>
      </c>
      <c r="H272" s="44" t="str">
        <f>IF(systemtable[[#This Row],[REJECTED]]&gt;0,"Status5","status"&amp;COUNT(systemtable[[#This Row],[RFI Issued Date]:[PL Received
Date]])+1)</f>
        <v>status1</v>
      </c>
      <c r="I272" s="29"/>
      <c r="J272" s="29"/>
      <c r="K272" s="29"/>
      <c r="L272" s="46"/>
    </row>
    <row r="273" spans="1:12">
      <c r="A273" s="4" t="s">
        <v>629</v>
      </c>
      <c r="B273" s="35" t="s">
        <v>118</v>
      </c>
      <c r="C273" s="55">
        <f>systemtable[[#This Row],[MC Forecast date]]-7</f>
        <v>44557</v>
      </c>
      <c r="D273" s="51">
        <f>systemtable[[#This Row],[Commissioning Forecast Date]]-7</f>
        <v>44564</v>
      </c>
      <c r="E273" s="55">
        <v>44571</v>
      </c>
      <c r="F273" s="35" t="s">
        <v>574</v>
      </c>
      <c r="G273" s="28" t="str">
        <f>IF(COUNT(systemtable[[#This Row],[RFI Issued Date]:[PL Received
Date]])=3,"OK","")</f>
        <v/>
      </c>
      <c r="H273" s="44" t="str">
        <f>IF(systemtable[[#This Row],[REJECTED]]&gt;0,"Status5","status"&amp;COUNT(systemtable[[#This Row],[RFI Issued Date]:[PL Received
Date]])+1)</f>
        <v>status1</v>
      </c>
      <c r="I273" s="29"/>
      <c r="J273" s="29"/>
      <c r="K273" s="29"/>
      <c r="L273" s="46"/>
    </row>
    <row r="274" spans="1:12">
      <c r="A274" s="4" t="s">
        <v>138</v>
      </c>
      <c r="B274" s="58" t="s">
        <v>137</v>
      </c>
      <c r="C274" s="55">
        <f>systemtable[[#This Row],[MC Forecast date]]-7</f>
        <v>44557</v>
      </c>
      <c r="D274" s="51">
        <f>systemtable[[#This Row],[Commissioning Forecast Date]]-7</f>
        <v>44564</v>
      </c>
      <c r="E274" s="55">
        <v>44571</v>
      </c>
      <c r="F274" s="35" t="s">
        <v>575</v>
      </c>
      <c r="G274" s="43" t="str">
        <f>IF(COUNT(systemtable[[#This Row],[RFI Issued Date]:[PL Received
Date]])=3,"OK","")</f>
        <v/>
      </c>
      <c r="H274" s="44" t="str">
        <f>IF(systemtable[[#This Row],[REJECTED]]&gt;0,"Status5","status"&amp;COUNT(systemtable[[#This Row],[RFI Issued Date]:[PL Received
Date]])+1)</f>
        <v>status1</v>
      </c>
      <c r="I274" s="45"/>
      <c r="J274" s="45"/>
      <c r="K274" s="45"/>
      <c r="L274" s="46"/>
    </row>
    <row r="275" spans="1:12">
      <c r="A275" s="4" t="s">
        <v>147</v>
      </c>
      <c r="B275" s="58" t="s">
        <v>146</v>
      </c>
      <c r="C275" s="55">
        <f>systemtable[[#This Row],[MC Forecast date]]-7</f>
        <v>44557</v>
      </c>
      <c r="D275" s="51">
        <f>systemtable[[#This Row],[Commissioning Forecast Date]]-7</f>
        <v>44564</v>
      </c>
      <c r="E275" s="55">
        <v>44571</v>
      </c>
      <c r="F275" s="35" t="s">
        <v>577</v>
      </c>
      <c r="G275" s="43" t="str">
        <f>IF(COUNT(systemtable[[#This Row],[RFI Issued Date]:[PL Received
Date]])=3,"OK","")</f>
        <v/>
      </c>
      <c r="H275" s="44" t="str">
        <f>IF(systemtable[[#This Row],[REJECTED]]&gt;0,"Status5","status"&amp;COUNT(systemtable[[#This Row],[RFI Issued Date]:[PL Received
Date]])+1)</f>
        <v>status1</v>
      </c>
      <c r="I275" s="45"/>
      <c r="J275" s="45"/>
      <c r="K275" s="45"/>
      <c r="L275" s="46"/>
    </row>
    <row r="276" spans="1:12">
      <c r="A276" s="4" t="s">
        <v>114</v>
      </c>
      <c r="B276" s="35" t="s">
        <v>113</v>
      </c>
      <c r="C276" s="55">
        <f>systemtable[[#This Row],[MC Forecast date]]-7</f>
        <v>44557</v>
      </c>
      <c r="D276" s="51">
        <f>systemtable[[#This Row],[Commissioning Forecast Date]]-7</f>
        <v>44564</v>
      </c>
      <c r="E276" s="55">
        <v>44571</v>
      </c>
      <c r="F276" s="35" t="s">
        <v>574</v>
      </c>
      <c r="G276" s="28" t="str">
        <f>IF(COUNT(systemtable[[#This Row],[RFI Issued Date]:[PL Received
Date]])=3,"OK","")</f>
        <v/>
      </c>
      <c r="H276" s="44" t="str">
        <f>IF(systemtable[[#This Row],[REJECTED]]&gt;0,"Status5","status"&amp;COUNT(systemtable[[#This Row],[RFI Issued Date]:[PL Received
Date]])+1)</f>
        <v>status1</v>
      </c>
      <c r="I276" s="29"/>
      <c r="J276" s="29"/>
      <c r="K276" s="29"/>
      <c r="L276" s="46"/>
    </row>
    <row r="277" spans="1:12">
      <c r="A277" s="4" t="s">
        <v>116</v>
      </c>
      <c r="B277" s="35" t="s">
        <v>115</v>
      </c>
      <c r="C277" s="55">
        <f>systemtable[[#This Row],[MC Forecast date]]-7</f>
        <v>44557</v>
      </c>
      <c r="D277" s="51">
        <f>systemtable[[#This Row],[Commissioning Forecast Date]]-7</f>
        <v>44564</v>
      </c>
      <c r="E277" s="55">
        <v>44571</v>
      </c>
      <c r="F277" s="35" t="s">
        <v>574</v>
      </c>
      <c r="G277" s="28" t="str">
        <f>IF(COUNT(systemtable[[#This Row],[RFI Issued Date]:[PL Received
Date]])=3,"OK","")</f>
        <v/>
      </c>
      <c r="H277" s="44" t="str">
        <f>IF(systemtable[[#This Row],[REJECTED]]&gt;0,"Status5","status"&amp;COUNT(systemtable[[#This Row],[RFI Issued Date]:[PL Received
Date]])+1)</f>
        <v>status1</v>
      </c>
      <c r="I277" s="29"/>
      <c r="J277" s="29"/>
      <c r="K277" s="29"/>
      <c r="L277" s="46"/>
    </row>
    <row r="278" spans="1:12">
      <c r="A278" s="34" t="s">
        <v>130</v>
      </c>
      <c r="B278" s="35" t="s">
        <v>129</v>
      </c>
      <c r="C278" s="55">
        <f>systemtable[[#This Row],[MC Forecast date]]-7</f>
        <v>44557</v>
      </c>
      <c r="D278" s="51">
        <f>systemtable[[#This Row],[Commissioning Forecast Date]]-7</f>
        <v>44564</v>
      </c>
      <c r="E278" s="55">
        <v>44571</v>
      </c>
      <c r="F278" s="35" t="s">
        <v>574</v>
      </c>
      <c r="G278" s="43" t="str">
        <f>IF(COUNT(systemtable[[#This Row],[RFI Issued Date]:[PL Received
Date]])=3,"OK","")</f>
        <v/>
      </c>
      <c r="H278" s="44" t="str">
        <f>IF(systemtable[[#This Row],[REJECTED]]&gt;0,"Status5","status"&amp;COUNT(systemtable[[#This Row],[RFI Issued Date]:[PL Received
Date]])+1)</f>
        <v>status1</v>
      </c>
      <c r="I278" s="45"/>
      <c r="J278" s="45"/>
      <c r="K278" s="45"/>
      <c r="L278" s="46"/>
    </row>
    <row r="279" spans="1:12">
      <c r="A279" s="4" t="s">
        <v>124</v>
      </c>
      <c r="B279" s="35" t="s">
        <v>123</v>
      </c>
      <c r="C279" s="55">
        <f>systemtable[[#This Row],[MC Forecast date]]-7</f>
        <v>44557</v>
      </c>
      <c r="D279" s="51">
        <f>systemtable[[#This Row],[Commissioning Forecast Date]]-7</f>
        <v>44564</v>
      </c>
      <c r="E279" s="55">
        <v>44571</v>
      </c>
      <c r="F279" s="35" t="s">
        <v>574</v>
      </c>
      <c r="G279" s="43" t="str">
        <f>IF(COUNT(systemtable[[#This Row],[RFI Issued Date]:[PL Received
Date]])=3,"OK","")</f>
        <v/>
      </c>
      <c r="H279" s="44" t="str">
        <f>IF(systemtable[[#This Row],[REJECTED]]&gt;0,"Status5","status"&amp;COUNT(systemtable[[#This Row],[RFI Issued Date]:[PL Received
Date]])+1)</f>
        <v>status1</v>
      </c>
      <c r="I279" s="45"/>
      <c r="J279" s="45"/>
      <c r="K279" s="45"/>
      <c r="L279" s="46"/>
    </row>
    <row r="280" spans="1:12">
      <c r="A280" s="4" t="s">
        <v>121</v>
      </c>
      <c r="B280" s="35" t="s">
        <v>630</v>
      </c>
      <c r="C280" s="55">
        <f>systemtable[[#This Row],[MC Forecast date]]-7</f>
        <v>44557</v>
      </c>
      <c r="D280" s="51">
        <f>systemtable[[#This Row],[Commissioning Forecast Date]]-7</f>
        <v>44564</v>
      </c>
      <c r="E280" s="55">
        <v>44571</v>
      </c>
      <c r="F280" s="35" t="s">
        <v>574</v>
      </c>
      <c r="G280" s="28" t="str">
        <f>IF(COUNT(systemtable[[#This Row],[RFI Issued Date]:[PL Received
Date]])=3,"OK","")</f>
        <v/>
      </c>
      <c r="H280" s="44" t="str">
        <f>IF(systemtable[[#This Row],[REJECTED]]&gt;0,"Status5","status"&amp;COUNT(systemtable[[#This Row],[RFI Issued Date]:[PL Received
Date]])+1)</f>
        <v>status1</v>
      </c>
      <c r="I280" s="29"/>
      <c r="J280" s="29"/>
      <c r="K280" s="29"/>
      <c r="L280" s="46"/>
    </row>
    <row r="281" spans="1:12">
      <c r="A281" s="4" t="s">
        <v>127</v>
      </c>
      <c r="B281" s="35" t="s">
        <v>126</v>
      </c>
      <c r="C281" s="55">
        <f>systemtable[[#This Row],[MC Forecast date]]-7</f>
        <v>44557</v>
      </c>
      <c r="D281" s="51">
        <f>systemtable[[#This Row],[Commissioning Forecast Date]]-7</f>
        <v>44564</v>
      </c>
      <c r="E281" s="55">
        <v>44571</v>
      </c>
      <c r="F281" s="35" t="s">
        <v>574</v>
      </c>
      <c r="G281" s="43" t="str">
        <f>IF(COUNT(systemtable[[#This Row],[RFI Issued Date]:[PL Received
Date]])=3,"OK","")</f>
        <v/>
      </c>
      <c r="H281" s="44" t="str">
        <f>IF(systemtable[[#This Row],[REJECTED]]&gt;0,"Status5","status"&amp;COUNT(systemtable[[#This Row],[RFI Issued Date]:[PL Received
Date]])+1)</f>
        <v>status1</v>
      </c>
      <c r="I281" s="45"/>
      <c r="J281" s="45"/>
      <c r="K281" s="45"/>
      <c r="L281" s="46"/>
    </row>
    <row r="282" spans="1:12">
      <c r="A282" s="4" t="s">
        <v>135</v>
      </c>
      <c r="B282" s="35" t="s">
        <v>134</v>
      </c>
      <c r="C282" s="55">
        <f>systemtable[[#This Row],[MC Forecast date]]-7</f>
        <v>44557</v>
      </c>
      <c r="D282" s="51">
        <f>systemtable[[#This Row],[Commissioning Forecast Date]]-7</f>
        <v>44564</v>
      </c>
      <c r="E282" s="55">
        <v>44571</v>
      </c>
      <c r="F282" s="35" t="s">
        <v>574</v>
      </c>
      <c r="G282" s="43" t="str">
        <f>IF(COUNT(systemtable[[#This Row],[RFI Issued Date]:[PL Received
Date]])=3,"OK","")</f>
        <v/>
      </c>
      <c r="H282" s="44" t="str">
        <f>IF(systemtable[[#This Row],[REJECTED]]&gt;0,"Status5","status"&amp;COUNT(systemtable[[#This Row],[RFI Issued Date]:[PL Received
Date]])+1)</f>
        <v>status1</v>
      </c>
      <c r="I282" s="45"/>
      <c r="J282" s="45"/>
      <c r="K282" s="45"/>
      <c r="L282" s="46"/>
    </row>
    <row r="283" spans="1:12">
      <c r="A283" s="4" t="s">
        <v>132</v>
      </c>
      <c r="B283" s="35" t="s">
        <v>631</v>
      </c>
      <c r="C283" s="55">
        <f>systemtable[[#This Row],[MC Forecast date]]-7</f>
        <v>44557</v>
      </c>
      <c r="D283" s="51">
        <f>systemtable[[#This Row],[Commissioning Forecast Date]]-7</f>
        <v>44564</v>
      </c>
      <c r="E283" s="55">
        <v>44571</v>
      </c>
      <c r="F283" s="35" t="s">
        <v>574</v>
      </c>
      <c r="G283" s="43" t="str">
        <f>IF(COUNT(systemtable[[#This Row],[RFI Issued Date]:[PL Received
Date]])=3,"OK","")</f>
        <v/>
      </c>
      <c r="H283" s="44" t="str">
        <f>IF(systemtable[[#This Row],[REJECTED]]&gt;0,"Status5","status"&amp;COUNT(systemtable[[#This Row],[RFI Issued Date]:[PL Received
Date]])+1)</f>
        <v>status1</v>
      </c>
      <c r="I283" s="45"/>
      <c r="J283" s="45"/>
      <c r="K283" s="45"/>
      <c r="L283" s="46"/>
    </row>
    <row r="284" spans="1:12">
      <c r="A284" s="4" t="s">
        <v>86</v>
      </c>
      <c r="B284" s="58" t="s">
        <v>85</v>
      </c>
      <c r="C284" s="55">
        <f>systemtable[[#This Row],[MC Forecast date]]-7</f>
        <v>44572</v>
      </c>
      <c r="D284" s="51">
        <f>systemtable[[#This Row],[Commissioning Forecast Date]]-7</f>
        <v>44579</v>
      </c>
      <c r="E284" s="55">
        <v>44586</v>
      </c>
      <c r="F284" s="35" t="s">
        <v>571</v>
      </c>
      <c r="G284" s="28" t="str">
        <f>IF(COUNT(systemtable[[#This Row],[RFI Issued Date]:[PL Received
Date]])=3,"OK","")</f>
        <v/>
      </c>
      <c r="H284" s="44" t="str">
        <f>IF(systemtable[[#This Row],[REJECTED]]&gt;0,"Status5","status"&amp;COUNT(systemtable[[#This Row],[RFI Issued Date]:[PL Received
Date]])+1)</f>
        <v>status1</v>
      </c>
      <c r="I284" s="29"/>
      <c r="J284" s="29"/>
      <c r="K284" s="29"/>
      <c r="L284" s="46"/>
    </row>
    <row r="285" spans="1:12">
      <c r="A285" s="4" t="s">
        <v>105</v>
      </c>
      <c r="B285" s="58" t="s">
        <v>104</v>
      </c>
      <c r="C285" s="55">
        <f>systemtable[[#This Row],[MC Forecast date]]-7</f>
        <v>44572</v>
      </c>
      <c r="D285" s="51">
        <f>systemtable[[#This Row],[Commissioning Forecast Date]]-7</f>
        <v>44579</v>
      </c>
      <c r="E285" s="55">
        <v>44586</v>
      </c>
      <c r="F285" s="35" t="s">
        <v>573</v>
      </c>
      <c r="G285" s="28" t="str">
        <f>IF(COUNT(systemtable[[#This Row],[RFI Issued Date]:[PL Received
Date]])=3,"OK","")</f>
        <v/>
      </c>
      <c r="H285" s="44" t="str">
        <f>IF(systemtable[[#This Row],[REJECTED]]&gt;0,"Status5","status"&amp;COUNT(systemtable[[#This Row],[RFI Issued Date]:[PL Received
Date]])+1)</f>
        <v>status1</v>
      </c>
      <c r="I285" s="29"/>
      <c r="J285" s="29"/>
      <c r="K285" s="29"/>
      <c r="L285" s="46"/>
    </row>
    <row r="286" spans="1:12">
      <c r="A286" s="30" t="s">
        <v>108</v>
      </c>
      <c r="B286" s="65" t="s">
        <v>107</v>
      </c>
      <c r="C286" s="55">
        <f>systemtable[[#This Row],[MC Forecast date]]-7</f>
        <v>44572</v>
      </c>
      <c r="D286" s="51">
        <f>systemtable[[#This Row],[Commissioning Forecast Date]]-7</f>
        <v>44579</v>
      </c>
      <c r="E286" s="55">
        <v>44586</v>
      </c>
      <c r="F286" s="35" t="s">
        <v>573</v>
      </c>
      <c r="G286" s="28" t="str">
        <f>IF(COUNT(systemtable[[#This Row],[RFI Issued Date]:[PL Received
Date]])=3,"OK","")</f>
        <v/>
      </c>
      <c r="H286" s="44" t="str">
        <f>IF(systemtable[[#This Row],[REJECTED]]&gt;0,"Status5","status"&amp;COUNT(systemtable[[#This Row],[RFI Issued Date]:[PL Received
Date]])+1)</f>
        <v>status1</v>
      </c>
      <c r="I286" s="29"/>
      <c r="J286" s="29"/>
      <c r="K286" s="29"/>
      <c r="L286" s="46"/>
    </row>
    <row r="287" spans="1:12">
      <c r="A287" s="30" t="s">
        <v>111</v>
      </c>
      <c r="B287" s="65" t="s">
        <v>110</v>
      </c>
      <c r="C287" s="55">
        <f>systemtable[[#This Row],[MC Forecast date]]-7</f>
        <v>44572</v>
      </c>
      <c r="D287" s="51">
        <f>systemtable[[#This Row],[Commissioning Forecast Date]]-7</f>
        <v>44579</v>
      </c>
      <c r="E287" s="55">
        <v>44586</v>
      </c>
      <c r="F287" s="35" t="s">
        <v>573</v>
      </c>
      <c r="G287" s="28" t="str">
        <f>IF(COUNT(systemtable[[#This Row],[RFI Issued Date]:[PL Received
Date]])=3,"OK","")</f>
        <v/>
      </c>
      <c r="H287" s="44" t="str">
        <f>IF(systemtable[[#This Row],[REJECTED]]&gt;0,"Status5","status"&amp;COUNT(systemtable[[#This Row],[RFI Issued Date]:[PL Received
Date]])+1)</f>
        <v>status1</v>
      </c>
      <c r="I287" s="29"/>
      <c r="J287" s="29"/>
      <c r="K287" s="29"/>
      <c r="L287" s="46"/>
    </row>
    <row r="288" spans="1:12">
      <c r="A288" s="4" t="s">
        <v>355</v>
      </c>
      <c r="B288" s="58" t="s">
        <v>244</v>
      </c>
      <c r="C288" s="55">
        <f>systemtable[[#This Row],[MC Forecast date]]-7</f>
        <v>44592</v>
      </c>
      <c r="D288" s="51">
        <f>systemtable[[#This Row],[Commissioning Forecast Date]]-7</f>
        <v>44599</v>
      </c>
      <c r="E288" s="55">
        <v>44606</v>
      </c>
      <c r="F288" s="35" t="s">
        <v>607</v>
      </c>
      <c r="G288" s="43" t="str">
        <f>IF(COUNT(systemtable[[#This Row],[RFI Issued Date]:[PL Received
Date]])=3,"OK","")</f>
        <v/>
      </c>
      <c r="H288" s="44" t="str">
        <f>IF(systemtable[[#This Row],[REJECTED]]&gt;0,"Status5","status"&amp;COUNT(systemtable[[#This Row],[RFI Issued Date]:[PL Received
Date]])+1)</f>
        <v>status1</v>
      </c>
      <c r="I288" s="45"/>
      <c r="J288" s="45"/>
      <c r="K288" s="45"/>
      <c r="L288" s="46"/>
    </row>
    <row r="289" spans="1:12">
      <c r="A289" s="4" t="s">
        <v>309</v>
      </c>
      <c r="B289" s="58" t="s">
        <v>171</v>
      </c>
      <c r="C289" s="55">
        <f>systemtable[[#This Row],[MC Forecast date]]-7</f>
        <v>44592</v>
      </c>
      <c r="D289" s="51">
        <f>systemtable[[#This Row],[Commissioning Forecast Date]]-7</f>
        <v>44599</v>
      </c>
      <c r="E289" s="55">
        <v>44606</v>
      </c>
      <c r="F289" s="35" t="s">
        <v>593</v>
      </c>
      <c r="G289" s="43" t="str">
        <f>IF(COUNT(systemtable[[#This Row],[RFI Issued Date]:[PL Received
Date]])=3,"OK","")</f>
        <v/>
      </c>
      <c r="H289" s="44" t="str">
        <f>IF(systemtable[[#This Row],[REJECTED]]&gt;0,"Status5","status"&amp;COUNT(systemtable[[#This Row],[RFI Issued Date]:[PL Received
Date]])+1)</f>
        <v>status1</v>
      </c>
      <c r="I289" s="45"/>
      <c r="J289" s="45"/>
      <c r="K289" s="45"/>
      <c r="L289" s="46"/>
    </row>
    <row r="290" spans="1:12">
      <c r="A290" s="4" t="s">
        <v>353</v>
      </c>
      <c r="B290" s="58" t="s">
        <v>247</v>
      </c>
      <c r="C290" s="55">
        <f>systemtable[[#This Row],[MC Forecast date]]-7</f>
        <v>44592</v>
      </c>
      <c r="D290" s="51">
        <f>systemtable[[#This Row],[Commissioning Forecast Date]]-7</f>
        <v>44599</v>
      </c>
      <c r="E290" s="55">
        <v>44606</v>
      </c>
      <c r="F290" s="35" t="s">
        <v>607</v>
      </c>
      <c r="G290" s="43" t="str">
        <f>IF(COUNT(systemtable[[#This Row],[RFI Issued Date]:[PL Received
Date]])=3,"OK","")</f>
        <v/>
      </c>
      <c r="H290" s="44" t="str">
        <f>IF(systemtable[[#This Row],[REJECTED]]&gt;0,"Status5","status"&amp;COUNT(systemtable[[#This Row],[RFI Issued Date]:[PL Received
Date]])+1)</f>
        <v>status1</v>
      </c>
      <c r="I290" s="45"/>
      <c r="J290" s="45"/>
      <c r="K290" s="45"/>
      <c r="L290" s="46"/>
    </row>
    <row r="291" spans="1:12">
      <c r="A291" s="4" t="s">
        <v>560</v>
      </c>
      <c r="B291" s="58" t="s">
        <v>627</v>
      </c>
      <c r="C291" s="55">
        <f>systemtable[[#This Row],[MC Forecast date]]-7</f>
        <v>44599</v>
      </c>
      <c r="D291" s="51">
        <f>systemtable[[#This Row],[Commissioning Forecast Date]]-7</f>
        <v>44606</v>
      </c>
      <c r="E291" s="55">
        <v>44613</v>
      </c>
      <c r="F291" s="35" t="s">
        <v>620</v>
      </c>
      <c r="G291" s="43" t="str">
        <f>IF(COUNT(systemtable[[#This Row],[RFI Issued Date]:[PL Received
Date]])=3,"OK","")</f>
        <v/>
      </c>
      <c r="H291" s="44" t="str">
        <f>IF(systemtable[[#This Row],[REJECTED]]&gt;0,"Status5","status"&amp;COUNT(systemtable[[#This Row],[RFI Issued Date]:[PL Received
Date]])+1)</f>
        <v>status1</v>
      </c>
      <c r="I291" s="45"/>
      <c r="J291" s="45"/>
      <c r="K291" s="45"/>
      <c r="L291" s="46"/>
    </row>
    <row r="292" spans="1:12">
      <c r="A292" s="34" t="s">
        <v>562</v>
      </c>
      <c r="B292" s="35" t="s">
        <v>561</v>
      </c>
      <c r="C292" s="55">
        <f>systemtable[[#This Row],[MC Forecast date]]-7</f>
        <v>44599</v>
      </c>
      <c r="D292" s="51">
        <f>systemtable[[#This Row],[Commissioning Forecast Date]]-7</f>
        <v>44606</v>
      </c>
      <c r="E292" s="55">
        <v>44613</v>
      </c>
      <c r="F292" s="35" t="s">
        <v>620</v>
      </c>
      <c r="G292" s="43" t="str">
        <f>IF(COUNT(systemtable[[#This Row],[RFI Issued Date]:[PL Received
Date]])=3,"OK","")</f>
        <v/>
      </c>
      <c r="H292" s="44" t="str">
        <f>IF(systemtable[[#This Row],[REJECTED]]&gt;0,"Status5","status"&amp;COUNT(systemtable[[#This Row],[RFI Issued Date]:[PL Received
Date]])+1)</f>
        <v>status1</v>
      </c>
      <c r="I292" s="45"/>
      <c r="J292" s="45"/>
      <c r="K292" s="45"/>
      <c r="L292" s="46"/>
    </row>
    <row r="293" spans="1:12">
      <c r="A293" s="34" t="s">
        <v>564</v>
      </c>
      <c r="B293" s="35" t="s">
        <v>563</v>
      </c>
      <c r="C293" s="55">
        <f>systemtable[[#This Row],[MC Forecast date]]-7</f>
        <v>44599</v>
      </c>
      <c r="D293" s="51">
        <f>systemtable[[#This Row],[Commissioning Forecast Date]]-7</f>
        <v>44606</v>
      </c>
      <c r="E293" s="55">
        <v>44613</v>
      </c>
      <c r="F293" s="35" t="s">
        <v>620</v>
      </c>
      <c r="G293" s="43" t="str">
        <f>IF(COUNT(systemtable[[#This Row],[RFI Issued Date]:[PL Received
Date]])=3,"OK","")</f>
        <v/>
      </c>
      <c r="H293" s="44" t="str">
        <f>IF(systemtable[[#This Row],[REJECTED]]&gt;0,"Status5","status"&amp;COUNT(systemtable[[#This Row],[RFI Issued Date]:[PL Received
Date]])+1)</f>
        <v>status1</v>
      </c>
      <c r="I293" s="45"/>
      <c r="J293" s="45"/>
      <c r="K293" s="45"/>
      <c r="L293" s="46"/>
    </row>
    <row r="294" spans="1:12">
      <c r="A294" s="4" t="s">
        <v>151</v>
      </c>
      <c r="B294" s="35" t="s">
        <v>150</v>
      </c>
      <c r="C294" s="55">
        <f>systemtable[[#This Row],[MC Forecast date]]-7</f>
        <v>44638</v>
      </c>
      <c r="D294" s="51">
        <f>systemtable[[#This Row],[Commissioning Forecast Date]]-7</f>
        <v>44645</v>
      </c>
      <c r="E294" s="55">
        <v>44652</v>
      </c>
      <c r="F294" s="35" t="s">
        <v>578</v>
      </c>
      <c r="G294" s="43" t="str">
        <f>IF(COUNT(systemtable[[#This Row],[RFI Issued Date]:[PL Received
Date]])=3,"OK","")</f>
        <v/>
      </c>
      <c r="H294" s="44" t="str">
        <f>IF(systemtable[[#This Row],[REJECTED]]&gt;0,"Status5","status"&amp;COUNT(systemtable[[#This Row],[RFI Issued Date]:[PL Received
Date]])+1)</f>
        <v>status1</v>
      </c>
      <c r="I294" s="45"/>
      <c r="J294" s="45"/>
      <c r="K294" s="45"/>
      <c r="L294" s="46"/>
    </row>
    <row r="295" spans="1:12">
      <c r="A295" s="46"/>
      <c r="B295"/>
      <c r="C295" s="42"/>
      <c r="D295" s="52"/>
      <c r="E295" s="42"/>
      <c r="F295" s="42" t="e">
        <f>VLOOKUP(systemtable[[#This Row],[Sub-System]],#REF!,4,FALSE)</f>
        <v>#REF!</v>
      </c>
      <c r="G295" s="43" t="str">
        <f>IF(COUNT(systemtable[[#This Row],[RFI Issued Date]:[PL Received
Date]])=3,"OK","")</f>
        <v/>
      </c>
      <c r="H295" s="44" t="str">
        <f>IF(systemtable[[#This Row],[REJECTED]]&gt;0,"Status5","status"&amp;COUNT(systemtable[[#This Row],[RFI Issued Date]:[PL Received
Date]])+1)</f>
        <v>status1</v>
      </c>
      <c r="I295" s="45"/>
      <c r="J295" s="45"/>
      <c r="K295" s="45"/>
      <c r="L295" s="46"/>
    </row>
    <row r="296" spans="1:12">
      <c r="A296" s="46"/>
      <c r="B296" s="32"/>
      <c r="C296" s="42"/>
      <c r="D296" s="52"/>
      <c r="E296" s="42"/>
      <c r="F296" s="42" t="e">
        <f>VLOOKUP(systemtable[[#This Row],[Sub-System]],#REF!,4,FALSE)</f>
        <v>#REF!</v>
      </c>
      <c r="G296" s="43" t="str">
        <f>IF(COUNT(systemtable[[#This Row],[RFI Issued Date]:[PL Received
Date]])=3,"OK","")</f>
        <v/>
      </c>
      <c r="H296" s="44" t="str">
        <f>IF(systemtable[[#This Row],[REJECTED]]&gt;0,"Status5","status"&amp;COUNT(systemtable[[#This Row],[RFI Issued Date]:[PL Received
Date]])+1)</f>
        <v>status1</v>
      </c>
      <c r="I296" s="45"/>
      <c r="J296" s="45"/>
      <c r="K296" s="45"/>
      <c r="L296" s="46"/>
    </row>
    <row r="297" spans="1:12">
      <c r="A297" s="46"/>
      <c r="B297" s="32"/>
      <c r="C297" s="42"/>
      <c r="D297" s="52"/>
      <c r="E297" s="42"/>
      <c r="F297" s="42" t="e">
        <f>VLOOKUP(systemtable[[#This Row],[Sub-System]],#REF!,4,FALSE)</f>
        <v>#REF!</v>
      </c>
      <c r="G297" s="43" t="str">
        <f>IF(COUNT(systemtable[[#This Row],[RFI Issued Date]:[PL Received
Date]])=3,"OK","")</f>
        <v/>
      </c>
      <c r="H297" s="44" t="str">
        <f>IF(systemtable[[#This Row],[REJECTED]]&gt;0,"Status5","status"&amp;COUNT(systemtable[[#This Row],[RFI Issued Date]:[PL Received
Date]])+1)</f>
        <v>status1</v>
      </c>
      <c r="I297" s="45"/>
      <c r="J297" s="45"/>
      <c r="K297" s="45"/>
      <c r="L297" s="46"/>
    </row>
    <row r="298" spans="1:12">
      <c r="A298" s="46"/>
      <c r="B298"/>
      <c r="C298" s="42"/>
      <c r="D298" s="52"/>
      <c r="E298" s="42"/>
      <c r="F298" s="42" t="e">
        <f>VLOOKUP(systemtable[[#This Row],[Sub-System]],#REF!,4,FALSE)</f>
        <v>#REF!</v>
      </c>
      <c r="G298" s="43" t="str">
        <f>IF(COUNT(systemtable[[#This Row],[RFI Issued Date]:[PL Received
Date]])=3,"OK","")</f>
        <v/>
      </c>
      <c r="H298" s="44" t="str">
        <f>IF(systemtable[[#This Row],[REJECTED]]&gt;0,"Status5","status"&amp;COUNT(systemtable[[#This Row],[RFI Issued Date]:[PL Received
Date]])+1)</f>
        <v>status1</v>
      </c>
      <c r="I298" s="45"/>
      <c r="J298" s="45"/>
      <c r="K298" s="45"/>
      <c r="L298" s="46"/>
    </row>
    <row r="299" spans="1:12">
      <c r="A299" s="46"/>
      <c r="B299"/>
      <c r="C299" s="42"/>
      <c r="D299" s="52"/>
      <c r="E299" s="42"/>
      <c r="F299" s="42" t="e">
        <f>VLOOKUP(systemtable[[#This Row],[Sub-System]],#REF!,4,FALSE)</f>
        <v>#REF!</v>
      </c>
      <c r="G299" s="43" t="str">
        <f>IF(COUNT(systemtable[[#This Row],[RFI Issued Date]:[PL Received
Date]])=3,"OK","")</f>
        <v/>
      </c>
      <c r="H299" s="44" t="str">
        <f>IF(systemtable[[#This Row],[REJECTED]]&gt;0,"Status5","status"&amp;COUNT(systemtable[[#This Row],[RFI Issued Date]:[PL Received
Date]])+1)</f>
        <v>status1</v>
      </c>
      <c r="I299" s="45"/>
      <c r="J299" s="45"/>
      <c r="K299" s="45"/>
      <c r="L299" s="46"/>
    </row>
    <row r="300" spans="1:12">
      <c r="A300" s="46"/>
      <c r="B300" s="36"/>
      <c r="C300" s="42"/>
      <c r="D300" s="52"/>
      <c r="E300" s="42"/>
      <c r="F300" s="42" t="e">
        <f>VLOOKUP(systemtable[[#This Row],[Sub-System]],#REF!,4,FALSE)</f>
        <v>#REF!</v>
      </c>
      <c r="G300" s="43" t="str">
        <f>IF(COUNT(systemtable[[#This Row],[RFI Issued Date]:[PL Received
Date]])=3,"OK","")</f>
        <v/>
      </c>
      <c r="H300" s="44" t="str">
        <f>IF(systemtable[[#This Row],[REJECTED]]&gt;0,"Status5","status"&amp;COUNT(systemtable[[#This Row],[RFI Issued Date]:[PL Received
Date]])+1)</f>
        <v>status1</v>
      </c>
      <c r="I300" s="45"/>
      <c r="J300" s="45"/>
      <c r="K300" s="45"/>
      <c r="L300" s="46"/>
    </row>
    <row r="301" spans="1:12">
      <c r="A301" s="46"/>
      <c r="B301"/>
      <c r="C301" s="42"/>
      <c r="D301" s="52"/>
      <c r="E301" s="42"/>
      <c r="F301" s="42" t="e">
        <f>VLOOKUP(systemtable[[#This Row],[Sub-System]],#REF!,4,FALSE)</f>
        <v>#REF!</v>
      </c>
      <c r="G301" s="43" t="str">
        <f>IF(COUNT(systemtable[[#This Row],[RFI Issued Date]:[PL Received
Date]])=3,"OK","")</f>
        <v/>
      </c>
      <c r="H301" s="44" t="str">
        <f>IF(systemtable[[#This Row],[REJECTED]]&gt;0,"Status5","status"&amp;COUNT(systemtable[[#This Row],[RFI Issued Date]:[PL Received
Date]])+1)</f>
        <v>status1</v>
      </c>
      <c r="I301" s="45"/>
      <c r="J301" s="45"/>
      <c r="K301" s="45"/>
      <c r="L301" s="46"/>
    </row>
    <row r="302" spans="1:12">
      <c r="A302" s="46"/>
      <c r="B302"/>
      <c r="C302" s="42"/>
      <c r="D302" s="52"/>
      <c r="E302" s="42"/>
      <c r="F302" s="42" t="e">
        <f>VLOOKUP(systemtable[[#This Row],[Sub-System]],#REF!,4,FALSE)</f>
        <v>#REF!</v>
      </c>
      <c r="G302" s="43" t="str">
        <f>IF(COUNT(systemtable[[#This Row],[RFI Issued Date]:[PL Received
Date]])=3,"OK","")</f>
        <v/>
      </c>
      <c r="H302" s="44" t="str">
        <f>IF(systemtable[[#This Row],[REJECTED]]&gt;0,"Status5","status"&amp;COUNT(systemtable[[#This Row],[RFI Issued Date]:[PL Received
Date]])+1)</f>
        <v>status1</v>
      </c>
      <c r="I302" s="45"/>
      <c r="J302" s="45"/>
      <c r="K302" s="45"/>
      <c r="L302" s="46"/>
    </row>
    <row r="303" spans="1:12">
      <c r="A303" s="46"/>
      <c r="B303"/>
      <c r="C303" s="42"/>
      <c r="D303" s="52"/>
      <c r="E303" s="42"/>
      <c r="F303" s="42" t="e">
        <f>VLOOKUP(systemtable[[#This Row],[Sub-System]],#REF!,4,FALSE)</f>
        <v>#REF!</v>
      </c>
      <c r="G303" s="43" t="str">
        <f>IF(COUNT(systemtable[[#This Row],[RFI Issued Date]:[PL Received
Date]])=3,"OK","")</f>
        <v/>
      </c>
      <c r="H303" s="44" t="str">
        <f>IF(systemtable[[#This Row],[REJECTED]]&gt;0,"Status5","status"&amp;COUNT(systemtable[[#This Row],[RFI Issued Date]:[PL Received
Date]])+1)</f>
        <v>status1</v>
      </c>
      <c r="I303" s="45"/>
      <c r="J303" s="45"/>
      <c r="K303" s="45"/>
      <c r="L303" s="46"/>
    </row>
    <row r="304" spans="1:12">
      <c r="A304" s="46"/>
      <c r="B304"/>
      <c r="C304" s="42"/>
      <c r="D304" s="52"/>
      <c r="E304" s="42"/>
      <c r="F304" s="42" t="e">
        <f>VLOOKUP(systemtable[[#This Row],[Sub-System]],#REF!,4,FALSE)</f>
        <v>#REF!</v>
      </c>
      <c r="G304" s="43" t="str">
        <f>IF(COUNT(systemtable[[#This Row],[RFI Issued Date]:[PL Received
Date]])=3,"OK","")</f>
        <v/>
      </c>
      <c r="H304" s="44" t="str">
        <f>IF(systemtable[[#This Row],[REJECTED]]&gt;0,"Status5","status"&amp;COUNT(systemtable[[#This Row],[RFI Issued Date]:[PL Received
Date]])+1)</f>
        <v>status1</v>
      </c>
      <c r="I304" s="45"/>
      <c r="J304" s="45"/>
      <c r="K304" s="45"/>
      <c r="L304" s="46"/>
    </row>
    <row r="305" spans="1:12">
      <c r="A305" s="46"/>
      <c r="B305"/>
      <c r="C305" s="42"/>
      <c r="D305" s="52"/>
      <c r="E305" s="42"/>
      <c r="F305" s="42" t="e">
        <f>VLOOKUP(systemtable[[#This Row],[Sub-System]],#REF!,4,FALSE)</f>
        <v>#REF!</v>
      </c>
      <c r="G305" s="43" t="str">
        <f>IF(COUNT(systemtable[[#This Row],[RFI Issued Date]:[PL Received
Date]])=3,"OK","")</f>
        <v/>
      </c>
      <c r="H305" s="44" t="str">
        <f>IF(systemtable[[#This Row],[REJECTED]]&gt;0,"Status5","status"&amp;COUNT(systemtable[[#This Row],[RFI Issued Date]:[PL Received
Date]])+1)</f>
        <v>status1</v>
      </c>
      <c r="I305" s="45"/>
      <c r="J305" s="45"/>
      <c r="K305" s="45"/>
      <c r="L305" s="46"/>
    </row>
    <row r="306" spans="1:12">
      <c r="A306" s="46"/>
      <c r="B306"/>
      <c r="C306" s="42"/>
      <c r="D306" s="52"/>
      <c r="E306" s="42"/>
      <c r="F306" s="42" t="e">
        <f>VLOOKUP(systemtable[[#This Row],[Sub-System]],#REF!,4,FALSE)</f>
        <v>#REF!</v>
      </c>
      <c r="G306" s="43" t="str">
        <f>IF(COUNT(systemtable[[#This Row],[RFI Issued Date]:[PL Received
Date]])=3,"OK","")</f>
        <v/>
      </c>
      <c r="H306" s="44" t="str">
        <f>IF(systemtable[[#This Row],[REJECTED]]&gt;0,"Status5","status"&amp;COUNT(systemtable[[#This Row],[RFI Issued Date]:[PL Received
Date]])+1)</f>
        <v>status1</v>
      </c>
      <c r="I306" s="45"/>
      <c r="J306" s="45"/>
      <c r="K306" s="45"/>
      <c r="L306" s="46"/>
    </row>
    <row r="307" spans="1:12">
      <c r="A307" s="46"/>
      <c r="B307"/>
      <c r="C307" s="42"/>
      <c r="D307" s="52"/>
      <c r="E307" s="42"/>
      <c r="F307" s="42" t="e">
        <f>VLOOKUP(systemtable[[#This Row],[Sub-System]],#REF!,4,FALSE)</f>
        <v>#REF!</v>
      </c>
      <c r="G307" s="43" t="str">
        <f>IF(COUNT(systemtable[[#This Row],[RFI Issued Date]:[PL Received
Date]])=3,"OK","")</f>
        <v/>
      </c>
      <c r="H307" s="44" t="str">
        <f>IF(systemtable[[#This Row],[REJECTED]]&gt;0,"Status5","status"&amp;COUNT(systemtable[[#This Row],[RFI Issued Date]:[PL Received
Date]])+1)</f>
        <v>status1</v>
      </c>
      <c r="I307" s="45"/>
      <c r="J307" s="45"/>
      <c r="K307" s="45"/>
      <c r="L307" s="46"/>
    </row>
    <row r="308" spans="1:12">
      <c r="A308" s="46"/>
      <c r="B308"/>
      <c r="C308" s="42"/>
      <c r="D308" s="52"/>
      <c r="E308" s="42"/>
      <c r="F308" s="42" t="e">
        <f>VLOOKUP(systemtable[[#This Row],[Sub-System]],#REF!,4,FALSE)</f>
        <v>#REF!</v>
      </c>
      <c r="G308" s="43" t="str">
        <f>IF(COUNT(systemtable[[#This Row],[RFI Issued Date]:[PL Received
Date]])=3,"OK","")</f>
        <v/>
      </c>
      <c r="H308" s="44" t="str">
        <f>IF(systemtable[[#This Row],[REJECTED]]&gt;0,"Status5","status"&amp;COUNT(systemtable[[#This Row],[RFI Issued Date]:[PL Received
Date]])+1)</f>
        <v>status1</v>
      </c>
      <c r="I308" s="45"/>
      <c r="J308" s="45"/>
      <c r="K308" s="45"/>
      <c r="L308" s="46"/>
    </row>
    <row r="309" spans="1:12">
      <c r="A309" s="46"/>
      <c r="B309"/>
      <c r="C309" s="42"/>
      <c r="D309" s="52"/>
      <c r="E309" s="42"/>
      <c r="F309" s="42" t="e">
        <f>VLOOKUP(systemtable[[#This Row],[Sub-System]],#REF!,4,FALSE)</f>
        <v>#REF!</v>
      </c>
      <c r="G309" s="43" t="str">
        <f>IF(COUNT(systemtable[[#This Row],[RFI Issued Date]:[PL Received
Date]])=3,"OK","")</f>
        <v/>
      </c>
      <c r="H309" s="44" t="str">
        <f>IF(systemtable[[#This Row],[REJECTED]]&gt;0,"Status5","status"&amp;COUNT(systemtable[[#This Row],[RFI Issued Date]:[PL Received
Date]])+1)</f>
        <v>status1</v>
      </c>
      <c r="I309" s="45"/>
      <c r="J309" s="45"/>
      <c r="K309" s="45"/>
      <c r="L309" s="46"/>
    </row>
    <row r="310" spans="1:12">
      <c r="A310" s="46"/>
      <c r="B310"/>
      <c r="C310" s="42"/>
      <c r="D310" s="52"/>
      <c r="E310" s="42"/>
      <c r="F310" s="42" t="e">
        <f>VLOOKUP(systemtable[[#This Row],[Sub-System]],#REF!,4,FALSE)</f>
        <v>#REF!</v>
      </c>
      <c r="G310" s="43" t="str">
        <f>IF(COUNT(systemtable[[#This Row],[RFI Issued Date]:[PL Received
Date]])=3,"OK","")</f>
        <v/>
      </c>
      <c r="H310" s="44" t="str">
        <f>IF(systemtable[[#This Row],[REJECTED]]&gt;0,"Status5","status"&amp;COUNT(systemtable[[#This Row],[RFI Issued Date]:[PL Received
Date]])+1)</f>
        <v>status1</v>
      </c>
      <c r="I310" s="45"/>
      <c r="J310" s="45"/>
      <c r="K310" s="45"/>
      <c r="L310" s="46"/>
    </row>
    <row r="311" spans="1:12">
      <c r="A311" s="46"/>
      <c r="B311"/>
      <c r="C311" s="42"/>
      <c r="D311" s="52"/>
      <c r="E311" s="42"/>
      <c r="F311" s="42" t="e">
        <f>VLOOKUP(systemtable[[#This Row],[Sub-System]],#REF!,4,FALSE)</f>
        <v>#REF!</v>
      </c>
      <c r="G311" s="43" t="str">
        <f>IF(COUNT(systemtable[[#This Row],[RFI Issued Date]:[PL Received
Date]])=3,"OK","")</f>
        <v/>
      </c>
      <c r="H311" s="44" t="str">
        <f>IF(systemtable[[#This Row],[REJECTED]]&gt;0,"Status5","status"&amp;COUNT(systemtable[[#This Row],[RFI Issued Date]:[PL Received
Date]])+1)</f>
        <v>status1</v>
      </c>
      <c r="I311" s="45"/>
      <c r="J311" s="45"/>
      <c r="K311" s="45"/>
      <c r="L311" s="46"/>
    </row>
    <row r="312" spans="1:12">
      <c r="A312" s="46"/>
      <c r="B312"/>
      <c r="C312" s="42"/>
      <c r="D312" s="52"/>
      <c r="E312" s="42"/>
      <c r="F312" s="42" t="e">
        <f>VLOOKUP(systemtable[[#This Row],[Sub-System]],#REF!,4,FALSE)</f>
        <v>#REF!</v>
      </c>
      <c r="G312" s="43" t="str">
        <f>IF(COUNT(systemtable[[#This Row],[RFI Issued Date]:[PL Received
Date]])=3,"OK","")</f>
        <v/>
      </c>
      <c r="H312" s="44" t="str">
        <f>IF(systemtable[[#This Row],[REJECTED]]&gt;0,"Status5","status"&amp;COUNT(systemtable[[#This Row],[RFI Issued Date]:[PL Received
Date]])+1)</f>
        <v>status1</v>
      </c>
      <c r="I312" s="45"/>
      <c r="J312" s="45"/>
      <c r="K312" s="45"/>
      <c r="L312" s="46"/>
    </row>
    <row r="313" spans="1:12">
      <c r="A313" s="46"/>
      <c r="B313"/>
      <c r="C313" s="42"/>
      <c r="D313" s="52"/>
      <c r="E313" s="42"/>
      <c r="F313" s="42" t="e">
        <f>VLOOKUP(systemtable[[#This Row],[Sub-System]],#REF!,4,FALSE)</f>
        <v>#REF!</v>
      </c>
      <c r="G313" s="43" t="str">
        <f>IF(COUNT(systemtable[[#This Row],[RFI Issued Date]:[PL Received
Date]])=3,"OK","")</f>
        <v/>
      </c>
      <c r="H313" s="44" t="str">
        <f>IF(systemtable[[#This Row],[REJECTED]]&gt;0,"Status5","status"&amp;COUNT(systemtable[[#This Row],[RFI Issued Date]:[PL Received
Date]])+1)</f>
        <v>status1</v>
      </c>
      <c r="I313" s="45"/>
      <c r="J313" s="45"/>
      <c r="K313" s="45"/>
      <c r="L313" s="46"/>
    </row>
    <row r="314" spans="1:12">
      <c r="A314" s="46"/>
      <c r="B314"/>
      <c r="C314" s="42"/>
      <c r="D314" s="52"/>
      <c r="E314" s="42"/>
      <c r="F314" s="42" t="e">
        <f>VLOOKUP(systemtable[[#This Row],[Sub-System]],#REF!,4,FALSE)</f>
        <v>#REF!</v>
      </c>
      <c r="G314" s="43" t="str">
        <f>IF(COUNT(systemtable[[#This Row],[RFI Issued Date]:[PL Received
Date]])=3,"OK","")</f>
        <v/>
      </c>
      <c r="H314" s="44" t="str">
        <f>IF(systemtable[[#This Row],[REJECTED]]&gt;0,"Status5","status"&amp;COUNT(systemtable[[#This Row],[RFI Issued Date]:[PL Received
Date]])+1)</f>
        <v>status1</v>
      </c>
      <c r="I314" s="45"/>
      <c r="J314" s="45"/>
      <c r="K314" s="45"/>
      <c r="L314" s="46"/>
    </row>
    <row r="315" spans="1:12">
      <c r="A315" s="46"/>
      <c r="B315"/>
      <c r="C315" s="42"/>
      <c r="D315" s="52"/>
      <c r="E315" s="42"/>
      <c r="F315" s="42" t="e">
        <f>VLOOKUP(systemtable[[#This Row],[Sub-System]],#REF!,4,FALSE)</f>
        <v>#REF!</v>
      </c>
      <c r="G315" s="43" t="str">
        <f>IF(COUNT(systemtable[[#This Row],[RFI Issued Date]:[PL Received
Date]])=3,"OK","")</f>
        <v/>
      </c>
      <c r="H315" s="44" t="str">
        <f>IF(systemtable[[#This Row],[REJECTED]]&gt;0,"Status5","status"&amp;COUNT(systemtable[[#This Row],[RFI Issued Date]:[PL Received
Date]])+1)</f>
        <v>status1</v>
      </c>
      <c r="I315" s="45"/>
      <c r="J315" s="45"/>
      <c r="K315" s="45"/>
      <c r="L315" s="46"/>
    </row>
    <row r="316" spans="1:12">
      <c r="A316" s="46"/>
      <c r="B316"/>
      <c r="C316" s="42"/>
      <c r="D316" s="52"/>
      <c r="E316" s="42"/>
      <c r="F316" s="42" t="e">
        <f>VLOOKUP(systemtable[[#This Row],[Sub-System]],#REF!,4,FALSE)</f>
        <v>#REF!</v>
      </c>
      <c r="G316" s="43" t="str">
        <f>IF(COUNT(systemtable[[#This Row],[RFI Issued Date]:[PL Received
Date]])=3,"OK","")</f>
        <v/>
      </c>
      <c r="H316" s="44" t="str">
        <f>IF(systemtable[[#This Row],[REJECTED]]&gt;0,"Status5","status"&amp;COUNT(systemtable[[#This Row],[RFI Issued Date]:[PL Received
Date]])+1)</f>
        <v>status1</v>
      </c>
      <c r="I316" s="45"/>
      <c r="J316" s="45"/>
      <c r="K316" s="45"/>
      <c r="L316" s="46"/>
    </row>
    <row r="317" spans="1:12">
      <c r="A317" s="46"/>
      <c r="B317"/>
      <c r="C317" s="42"/>
      <c r="D317" s="52"/>
      <c r="E317" s="42"/>
      <c r="F317" s="42" t="e">
        <f>VLOOKUP(systemtable[[#This Row],[Sub-System]],#REF!,4,FALSE)</f>
        <v>#REF!</v>
      </c>
      <c r="G317" s="43" t="str">
        <f>IF(COUNT(systemtable[[#This Row],[RFI Issued Date]:[PL Received
Date]])=3,"OK","")</f>
        <v/>
      </c>
      <c r="H317" s="44" t="str">
        <f>IF(systemtable[[#This Row],[REJECTED]]&gt;0,"Status5","status"&amp;COUNT(systemtable[[#This Row],[RFI Issued Date]:[PL Received
Date]])+1)</f>
        <v>status1</v>
      </c>
      <c r="I317" s="45"/>
      <c r="J317" s="45"/>
      <c r="K317" s="45"/>
      <c r="L317" s="46"/>
    </row>
    <row r="318" spans="1:12">
      <c r="A318" s="46"/>
      <c r="B318"/>
      <c r="C318" s="42"/>
      <c r="D318" s="52"/>
      <c r="E318" s="42"/>
      <c r="F318" s="42" t="e">
        <f>VLOOKUP(systemtable[[#This Row],[Sub-System]],#REF!,4,FALSE)</f>
        <v>#REF!</v>
      </c>
      <c r="G318" s="43" t="str">
        <f>IF(COUNT(systemtable[[#This Row],[RFI Issued Date]:[PL Received
Date]])=3,"OK","")</f>
        <v/>
      </c>
      <c r="H318" s="44" t="str">
        <f>IF(systemtable[[#This Row],[REJECTED]]&gt;0,"Status5","status"&amp;COUNT(systemtable[[#This Row],[RFI Issued Date]:[PL Received
Date]])+1)</f>
        <v>status1</v>
      </c>
      <c r="I318" s="45"/>
      <c r="J318" s="45"/>
      <c r="K318" s="45"/>
      <c r="L318" s="46"/>
    </row>
    <row r="319" spans="1:12">
      <c r="A319" s="46"/>
      <c r="B319"/>
      <c r="C319" s="42"/>
      <c r="D319" s="52"/>
      <c r="E319" s="42"/>
      <c r="F319" s="42" t="e">
        <f>VLOOKUP(systemtable[[#This Row],[Sub-System]],#REF!,4,FALSE)</f>
        <v>#REF!</v>
      </c>
      <c r="G319" s="43" t="str">
        <f>IF(COUNT(systemtable[[#This Row],[RFI Issued Date]:[PL Received
Date]])=3,"OK","")</f>
        <v/>
      </c>
      <c r="H319" s="44" t="str">
        <f>IF(systemtable[[#This Row],[REJECTED]]&gt;0,"Status5","status"&amp;COUNT(systemtable[[#This Row],[RFI Issued Date]:[PL Received
Date]])+1)</f>
        <v>status1</v>
      </c>
      <c r="I319" s="45"/>
      <c r="J319" s="45"/>
      <c r="K319" s="45"/>
      <c r="L319" s="46"/>
    </row>
    <row r="320" spans="1:12">
      <c r="A320" s="46"/>
      <c r="B320"/>
      <c r="C320" s="42"/>
      <c r="D320" s="52"/>
      <c r="E320" s="42"/>
      <c r="F320" s="42" t="e">
        <f>VLOOKUP(systemtable[[#This Row],[Sub-System]],#REF!,4,FALSE)</f>
        <v>#REF!</v>
      </c>
      <c r="G320" s="43" t="str">
        <f>IF(COUNT(systemtable[[#This Row],[RFI Issued Date]:[PL Received
Date]])=3,"OK","")</f>
        <v/>
      </c>
      <c r="H320" s="44" t="str">
        <f>IF(systemtable[[#This Row],[REJECTED]]&gt;0,"Status5","status"&amp;COUNT(systemtable[[#This Row],[RFI Issued Date]:[PL Received
Date]])+1)</f>
        <v>status1</v>
      </c>
      <c r="I320" s="45"/>
      <c r="J320" s="45"/>
      <c r="K320" s="45"/>
      <c r="L320" s="46"/>
    </row>
    <row r="321" spans="1:12">
      <c r="A321" s="46"/>
      <c r="B321" s="32"/>
      <c r="C321" s="42"/>
      <c r="D321" s="52"/>
      <c r="E321" s="42"/>
      <c r="F321" s="42" t="e">
        <f>VLOOKUP(systemtable[[#This Row],[Sub-System]],#REF!,4,FALSE)</f>
        <v>#REF!</v>
      </c>
      <c r="G321" s="43" t="str">
        <f>IF(COUNT(systemtable[[#This Row],[RFI Issued Date]:[PL Received
Date]])=3,"OK","")</f>
        <v/>
      </c>
      <c r="H321" s="44" t="str">
        <f>IF(systemtable[[#This Row],[REJECTED]]&gt;0,"Status5","status"&amp;COUNT(systemtable[[#This Row],[RFI Issued Date]:[PL Received
Date]])+1)</f>
        <v>status1</v>
      </c>
      <c r="I321" s="45"/>
      <c r="J321" s="45"/>
      <c r="K321" s="45"/>
      <c r="L321" s="46"/>
    </row>
    <row r="322" spans="1:12">
      <c r="A322" s="46"/>
      <c r="B322" s="33"/>
      <c r="C322" s="42"/>
      <c r="D322" s="52"/>
      <c r="E322" s="42"/>
      <c r="F322" s="42" t="e">
        <f>VLOOKUP(systemtable[[#This Row],[Sub-System]],#REF!,4,FALSE)</f>
        <v>#REF!</v>
      </c>
      <c r="G322" s="43" t="str">
        <f>IF(COUNT(systemtable[[#This Row],[RFI Issued Date]:[PL Received
Date]])=3,"OK","")</f>
        <v/>
      </c>
      <c r="H322" s="44" t="str">
        <f>IF(systemtable[[#This Row],[REJECTED]]&gt;0,"Status5","status"&amp;COUNT(systemtable[[#This Row],[RFI Issued Date]:[PL Received
Date]])+1)</f>
        <v>status1</v>
      </c>
      <c r="I322" s="45"/>
      <c r="J322" s="45"/>
      <c r="K322" s="45"/>
      <c r="L322" s="46"/>
    </row>
    <row r="323" spans="1:12">
      <c r="A323" s="46"/>
      <c r="B323" s="32"/>
      <c r="C323" s="42"/>
      <c r="D323" s="52"/>
      <c r="E323" s="42"/>
      <c r="F323" s="42" t="e">
        <f>VLOOKUP(systemtable[[#This Row],[Sub-System]],#REF!,4,FALSE)</f>
        <v>#REF!</v>
      </c>
      <c r="G323" s="43" t="str">
        <f>IF(COUNT(systemtable[[#This Row],[RFI Issued Date]:[PL Received
Date]])=3,"OK","")</f>
        <v/>
      </c>
      <c r="H323" s="44" t="str">
        <f>IF(systemtable[[#This Row],[REJECTED]]&gt;0,"Status5","status"&amp;COUNT(systemtable[[#This Row],[RFI Issued Date]:[PL Received
Date]])+1)</f>
        <v>status1</v>
      </c>
      <c r="I323" s="45"/>
      <c r="J323" s="45"/>
      <c r="K323" s="45"/>
      <c r="L323" s="46"/>
    </row>
    <row r="324" spans="1:12">
      <c r="A324" s="46"/>
      <c r="B324" s="32"/>
      <c r="C324" s="42"/>
      <c r="D324" s="52"/>
      <c r="E324" s="42"/>
      <c r="F324" s="42" t="e">
        <f>VLOOKUP(systemtable[[#This Row],[Sub-System]],#REF!,4,FALSE)</f>
        <v>#REF!</v>
      </c>
      <c r="G324" s="43" t="str">
        <f>IF(COUNT(systemtable[[#This Row],[RFI Issued Date]:[PL Received
Date]])=3,"OK","")</f>
        <v/>
      </c>
      <c r="H324" s="44" t="str">
        <f>IF(systemtable[[#This Row],[REJECTED]]&gt;0,"Status5","status"&amp;COUNT(systemtable[[#This Row],[RFI Issued Date]:[PL Received
Date]])+1)</f>
        <v>status1</v>
      </c>
      <c r="I324" s="45"/>
      <c r="J324" s="45"/>
      <c r="K324" s="45"/>
      <c r="L324" s="46"/>
    </row>
    <row r="325" spans="1:12">
      <c r="A325" s="46"/>
      <c r="B325" s="32"/>
      <c r="C325" s="42"/>
      <c r="D325" s="52"/>
      <c r="E325" s="42"/>
      <c r="F325" s="42" t="e">
        <f>VLOOKUP(systemtable[[#This Row],[Sub-System]],#REF!,4,FALSE)</f>
        <v>#REF!</v>
      </c>
      <c r="G325" s="43" t="str">
        <f>IF(COUNT(systemtable[[#This Row],[RFI Issued Date]:[PL Received
Date]])=3,"OK","")</f>
        <v/>
      </c>
      <c r="H325" s="44" t="str">
        <f>IF(systemtable[[#This Row],[REJECTED]]&gt;0,"Status5","status"&amp;COUNT(systemtable[[#This Row],[RFI Issued Date]:[PL Received
Date]])+1)</f>
        <v>status1</v>
      </c>
      <c r="I325" s="45"/>
      <c r="J325" s="45"/>
      <c r="K325" s="45"/>
      <c r="L325" s="46"/>
    </row>
    <row r="326" spans="1:12">
      <c r="A326" s="46"/>
      <c r="B326" s="32"/>
      <c r="C326" s="42"/>
      <c r="D326" s="52"/>
      <c r="E326" s="42"/>
      <c r="F326" s="42" t="e">
        <f>VLOOKUP(systemtable[[#This Row],[Sub-System]],#REF!,4,FALSE)</f>
        <v>#REF!</v>
      </c>
      <c r="G326" s="43" t="str">
        <f>IF(COUNT(systemtable[[#This Row],[RFI Issued Date]:[PL Received
Date]])=3,"OK","")</f>
        <v/>
      </c>
      <c r="H326" s="44" t="str">
        <f>IF(systemtable[[#This Row],[REJECTED]]&gt;0,"Status5","status"&amp;COUNT(systemtable[[#This Row],[RFI Issued Date]:[PL Received
Date]])+1)</f>
        <v>status1</v>
      </c>
      <c r="I326" s="45"/>
      <c r="J326" s="45"/>
      <c r="K326" s="45"/>
      <c r="L326" s="46"/>
    </row>
    <row r="327" spans="1:12">
      <c r="A327" s="46"/>
      <c r="B327" s="40"/>
      <c r="C327" s="42"/>
      <c r="D327" s="52"/>
      <c r="E327" s="42"/>
      <c r="F327" s="42" t="e">
        <f>VLOOKUP(systemtable[[#This Row],[Sub-System]],#REF!,4,FALSE)</f>
        <v>#REF!</v>
      </c>
      <c r="G327" s="43" t="str">
        <f>IF(COUNT(systemtable[[#This Row],[RFI Issued Date]:[PL Received
Date]])=3,"OK","")</f>
        <v/>
      </c>
      <c r="H327" s="44" t="str">
        <f>IF(systemtable[[#This Row],[REJECTED]]&gt;0,"Status5","status"&amp;COUNT(systemtable[[#This Row],[RFI Issued Date]:[PL Received
Date]])+1)</f>
        <v>status1</v>
      </c>
      <c r="I327" s="45"/>
      <c r="J327" s="45"/>
      <c r="K327" s="45"/>
      <c r="L327" s="46"/>
    </row>
    <row r="328" spans="1:12">
      <c r="A328" s="46"/>
      <c r="B328" s="36"/>
      <c r="C328" s="42"/>
      <c r="D328" s="52"/>
      <c r="E328" s="42"/>
      <c r="F328" s="42" t="e">
        <f>VLOOKUP(systemtable[[#This Row],[Sub-System]],#REF!,4,FALSE)</f>
        <v>#REF!</v>
      </c>
      <c r="G328" s="43" t="str">
        <f>IF(COUNT(systemtable[[#This Row],[RFI Issued Date]:[PL Received
Date]])=3,"OK","")</f>
        <v/>
      </c>
      <c r="H328" s="44" t="str">
        <f>IF(systemtable[[#This Row],[REJECTED]]&gt;0,"Status5","status"&amp;COUNT(systemtable[[#This Row],[RFI Issued Date]:[PL Received
Date]])+1)</f>
        <v>status1</v>
      </c>
      <c r="I328" s="45"/>
      <c r="J328" s="45"/>
      <c r="K328" s="45"/>
      <c r="L328" s="46"/>
    </row>
    <row r="329" spans="1:12">
      <c r="A329" s="46"/>
      <c r="B329" s="36"/>
      <c r="C329" s="42"/>
      <c r="D329" s="52"/>
      <c r="E329" s="42"/>
      <c r="F329" s="42" t="e">
        <f>VLOOKUP(systemtable[[#This Row],[Sub-System]],#REF!,4,FALSE)</f>
        <v>#REF!</v>
      </c>
      <c r="G329" s="43" t="str">
        <f>IF(COUNT(systemtable[[#This Row],[RFI Issued Date]:[PL Received
Date]])=3,"OK","")</f>
        <v/>
      </c>
      <c r="H329" s="44" t="str">
        <f>IF(systemtable[[#This Row],[REJECTED]]&gt;0,"Status5","status"&amp;COUNT(systemtable[[#This Row],[RFI Issued Date]:[PL Received
Date]])+1)</f>
        <v>status1</v>
      </c>
      <c r="I329" s="45"/>
      <c r="J329" s="45"/>
      <c r="K329" s="45"/>
      <c r="L329" s="46"/>
    </row>
    <row r="330" spans="1:12">
      <c r="A330" s="46"/>
      <c r="B330"/>
      <c r="C330" s="42"/>
      <c r="D330" s="52"/>
      <c r="E330" s="42"/>
      <c r="F330" s="42" t="e">
        <f>VLOOKUP(systemtable[[#This Row],[Sub-System]],#REF!,4,FALSE)</f>
        <v>#REF!</v>
      </c>
      <c r="G330" s="43" t="str">
        <f>IF(COUNT(systemtable[[#This Row],[RFI Issued Date]:[PL Received
Date]])=3,"OK","")</f>
        <v/>
      </c>
      <c r="H330" s="44" t="str">
        <f>IF(systemtable[[#This Row],[REJECTED]]&gt;0,"Status5","status"&amp;COUNT(systemtable[[#This Row],[RFI Issued Date]:[PL Received
Date]])+1)</f>
        <v>status1</v>
      </c>
      <c r="I330" s="45"/>
      <c r="J330" s="45"/>
      <c r="K330" s="45"/>
      <c r="L330" s="46"/>
    </row>
    <row r="331" spans="1:12">
      <c r="A331" s="46"/>
      <c r="B331" s="32"/>
      <c r="C331" s="42"/>
      <c r="D331" s="52"/>
      <c r="E331" s="42"/>
      <c r="F331" s="42" t="e">
        <f>VLOOKUP(systemtable[[#This Row],[Sub-System]],#REF!,4,FALSE)</f>
        <v>#REF!</v>
      </c>
      <c r="G331" s="43" t="str">
        <f>IF(COUNT(systemtable[[#This Row],[RFI Issued Date]:[PL Received
Date]])=3,"OK","")</f>
        <v/>
      </c>
      <c r="H331" s="44" t="str">
        <f>IF(systemtable[[#This Row],[REJECTED]]&gt;0,"Status5","status"&amp;COUNT(systemtable[[#This Row],[RFI Issued Date]:[PL Received
Date]])+1)</f>
        <v>status1</v>
      </c>
      <c r="I331" s="45"/>
      <c r="J331" s="45"/>
      <c r="K331" s="45"/>
      <c r="L331" s="46"/>
    </row>
    <row r="332" spans="1:12">
      <c r="A332" s="46"/>
      <c r="B332" s="32"/>
      <c r="C332" s="42"/>
      <c r="D332" s="52"/>
      <c r="E332" s="42"/>
      <c r="F332" s="42" t="e">
        <f>VLOOKUP(systemtable[[#This Row],[Sub-System]],#REF!,4,FALSE)</f>
        <v>#REF!</v>
      </c>
      <c r="G332" s="43" t="str">
        <f>IF(COUNT(systemtable[[#This Row],[RFI Issued Date]:[PL Received
Date]])=3,"OK","")</f>
        <v/>
      </c>
      <c r="H332" s="44" t="str">
        <f>IF(systemtable[[#This Row],[REJECTED]]&gt;0,"Status5","status"&amp;COUNT(systemtable[[#This Row],[RFI Issued Date]:[PL Received
Date]])+1)</f>
        <v>status1</v>
      </c>
      <c r="I332" s="45"/>
      <c r="J332" s="45"/>
      <c r="K332" s="45"/>
      <c r="L332" s="46"/>
    </row>
    <row r="333" spans="1:12">
      <c r="A333" s="46"/>
      <c r="B333"/>
      <c r="C333" s="42"/>
      <c r="D333" s="52"/>
      <c r="E333" s="42"/>
      <c r="F333" s="42" t="e">
        <f>VLOOKUP(systemtable[[#This Row],[Sub-System]],#REF!,4,FALSE)</f>
        <v>#REF!</v>
      </c>
      <c r="G333" s="43" t="str">
        <f>IF(COUNT(systemtable[[#This Row],[RFI Issued Date]:[PL Received
Date]])=3,"OK","")</f>
        <v/>
      </c>
      <c r="H333" s="44" t="str">
        <f>IF(systemtable[[#This Row],[REJECTED]]&gt;0,"Status5","status"&amp;COUNT(systemtable[[#This Row],[RFI Issued Date]:[PL Received
Date]])+1)</f>
        <v>status1</v>
      </c>
      <c r="I333" s="45"/>
      <c r="J333" s="45"/>
      <c r="K333" s="45"/>
      <c r="L333" s="46"/>
    </row>
    <row r="334" spans="1:12">
      <c r="A334" s="46"/>
      <c r="B334" s="36"/>
      <c r="C334" s="42"/>
      <c r="D334" s="52"/>
      <c r="E334" s="42"/>
      <c r="F334" s="42" t="e">
        <f>VLOOKUP(systemtable[[#This Row],[Sub-System]],#REF!,4,FALSE)</f>
        <v>#REF!</v>
      </c>
      <c r="G334" s="43" t="str">
        <f>IF(COUNT(systemtable[[#This Row],[RFI Issued Date]:[PL Received
Date]])=3,"OK","")</f>
        <v/>
      </c>
      <c r="H334" s="44" t="str">
        <f>IF(systemtable[[#This Row],[REJECTED]]&gt;0,"Status5","status"&amp;COUNT(systemtable[[#This Row],[RFI Issued Date]:[PL Received
Date]])+1)</f>
        <v>status1</v>
      </c>
      <c r="I334" s="45"/>
      <c r="J334" s="45"/>
      <c r="K334" s="45"/>
      <c r="L334" s="46"/>
    </row>
    <row r="335" spans="1:12">
      <c r="A335" s="46"/>
      <c r="B335"/>
      <c r="C335" s="42"/>
      <c r="D335" s="52"/>
      <c r="E335" s="42"/>
      <c r="F335" s="42" t="e">
        <f>VLOOKUP(systemtable[[#This Row],[Sub-System]],#REF!,4,FALSE)</f>
        <v>#REF!</v>
      </c>
      <c r="G335" s="43" t="str">
        <f>IF(COUNT(systemtable[[#This Row],[RFI Issued Date]:[PL Received
Date]])=3,"OK","")</f>
        <v/>
      </c>
      <c r="H335" s="44" t="str">
        <f>IF(systemtable[[#This Row],[REJECTED]]&gt;0,"Status5","status"&amp;COUNT(systemtable[[#This Row],[RFI Issued Date]:[PL Received
Date]])+1)</f>
        <v>status1</v>
      </c>
      <c r="I335" s="45"/>
      <c r="J335" s="45"/>
      <c r="K335" s="45"/>
      <c r="L335" s="46"/>
    </row>
    <row r="336" spans="1:12">
      <c r="A336" s="46"/>
      <c r="B336"/>
      <c r="C336" s="42"/>
      <c r="D336" s="52"/>
      <c r="E336" s="42"/>
      <c r="F336" s="42" t="e">
        <f>VLOOKUP(systemtable[[#This Row],[Sub-System]],#REF!,4,FALSE)</f>
        <v>#REF!</v>
      </c>
      <c r="G336" s="43" t="str">
        <f>IF(COUNT(systemtable[[#This Row],[RFI Issued Date]:[PL Received
Date]])=3,"OK","")</f>
        <v/>
      </c>
      <c r="H336" s="44" t="str">
        <f>IF(systemtable[[#This Row],[REJECTED]]&gt;0,"Status5","status"&amp;COUNT(systemtable[[#This Row],[RFI Issued Date]:[PL Received
Date]])+1)</f>
        <v>status1</v>
      </c>
      <c r="I336" s="45"/>
      <c r="J336" s="45"/>
      <c r="K336" s="45"/>
      <c r="L336" s="46"/>
    </row>
    <row r="337" spans="1:12">
      <c r="A337" s="46"/>
      <c r="B337"/>
      <c r="C337" s="42"/>
      <c r="D337" s="52"/>
      <c r="E337" s="42"/>
      <c r="F337" s="42" t="e">
        <f>VLOOKUP(systemtable[[#This Row],[Sub-System]],#REF!,4,FALSE)</f>
        <v>#REF!</v>
      </c>
      <c r="G337" s="43" t="str">
        <f>IF(COUNT(systemtable[[#This Row],[RFI Issued Date]:[PL Received
Date]])=3,"OK","")</f>
        <v/>
      </c>
      <c r="H337" s="44" t="str">
        <f>IF(systemtable[[#This Row],[REJECTED]]&gt;0,"Status5","status"&amp;COUNT(systemtable[[#This Row],[RFI Issued Date]:[PL Received
Date]])+1)</f>
        <v>status1</v>
      </c>
      <c r="I337" s="45"/>
      <c r="J337" s="45"/>
      <c r="K337" s="45"/>
      <c r="L337" s="46"/>
    </row>
    <row r="338" spans="1:12">
      <c r="A338" s="46"/>
      <c r="B338"/>
      <c r="C338" s="42"/>
      <c r="D338" s="52"/>
      <c r="E338" s="42"/>
      <c r="F338" s="42" t="e">
        <f>VLOOKUP(systemtable[[#This Row],[Sub-System]],#REF!,4,FALSE)</f>
        <v>#REF!</v>
      </c>
      <c r="G338" s="43" t="str">
        <f>IF(COUNT(systemtable[[#This Row],[RFI Issued Date]:[PL Received
Date]])=3,"OK","")</f>
        <v/>
      </c>
      <c r="H338" s="44" t="str">
        <f>IF(systemtable[[#This Row],[REJECTED]]&gt;0,"Status5","status"&amp;COUNT(systemtable[[#This Row],[RFI Issued Date]:[PL Received
Date]])+1)</f>
        <v>status1</v>
      </c>
      <c r="I338" s="45"/>
      <c r="J338" s="45"/>
      <c r="K338" s="45"/>
      <c r="L338" s="46"/>
    </row>
    <row r="339" spans="1:12">
      <c r="A339" s="46"/>
      <c r="B339" s="32"/>
      <c r="C339" s="42"/>
      <c r="D339" s="52"/>
      <c r="E339" s="42"/>
      <c r="F339" s="42" t="e">
        <f>VLOOKUP(systemtable[[#This Row],[Sub-System]],#REF!,4,FALSE)</f>
        <v>#REF!</v>
      </c>
      <c r="G339" s="43" t="str">
        <f>IF(COUNT(systemtable[[#This Row],[RFI Issued Date]:[PL Received
Date]])=3,"OK","")</f>
        <v/>
      </c>
      <c r="H339" s="44" t="str">
        <f>IF(systemtable[[#This Row],[REJECTED]]&gt;0,"Status5","status"&amp;COUNT(systemtable[[#This Row],[RFI Issued Date]:[PL Received
Date]])+1)</f>
        <v>status1</v>
      </c>
      <c r="I339" s="45"/>
      <c r="J339" s="45"/>
      <c r="K339" s="45"/>
      <c r="L339" s="46"/>
    </row>
    <row r="340" spans="1:12">
      <c r="A340" s="46"/>
      <c r="B340" s="32"/>
      <c r="C340" s="42"/>
      <c r="D340" s="52"/>
      <c r="E340" s="42"/>
      <c r="F340" s="42" t="e">
        <f>VLOOKUP(systemtable[[#This Row],[Sub-System]],#REF!,4,FALSE)</f>
        <v>#REF!</v>
      </c>
      <c r="G340" s="43" t="str">
        <f>IF(COUNT(systemtable[[#This Row],[RFI Issued Date]:[PL Received
Date]])=3,"OK","")</f>
        <v/>
      </c>
      <c r="H340" s="44" t="str">
        <f>IF(systemtable[[#This Row],[REJECTED]]&gt;0,"Status5","status"&amp;COUNT(systemtable[[#This Row],[RFI Issued Date]:[PL Received
Date]])+1)</f>
        <v>status1</v>
      </c>
      <c r="I340" s="45"/>
      <c r="J340" s="45"/>
      <c r="K340" s="45"/>
      <c r="L340" s="46"/>
    </row>
    <row r="341" spans="1:12">
      <c r="A341" s="46"/>
      <c r="B341" s="32"/>
      <c r="C341" s="42"/>
      <c r="D341" s="52"/>
      <c r="E341" s="42"/>
      <c r="F341" s="42" t="e">
        <f>VLOOKUP(systemtable[[#This Row],[Sub-System]],#REF!,4,FALSE)</f>
        <v>#REF!</v>
      </c>
      <c r="G341" s="43" t="str">
        <f>IF(COUNT(systemtable[[#This Row],[RFI Issued Date]:[PL Received
Date]])=3,"OK","")</f>
        <v/>
      </c>
      <c r="H341" s="44" t="str">
        <f>IF(systemtable[[#This Row],[REJECTED]]&gt;0,"Status5","status"&amp;COUNT(systemtable[[#This Row],[RFI Issued Date]:[PL Received
Date]])+1)</f>
        <v>status1</v>
      </c>
      <c r="I341" s="45"/>
      <c r="J341" s="45"/>
      <c r="K341" s="45"/>
      <c r="L341" s="46"/>
    </row>
    <row r="342" spans="1:12">
      <c r="A342" s="46"/>
      <c r="B342" s="33"/>
      <c r="C342" s="42"/>
      <c r="D342" s="52"/>
      <c r="E342" s="42"/>
      <c r="F342" s="42" t="e">
        <f>VLOOKUP(systemtable[[#This Row],[Sub-System]],#REF!,4,FALSE)</f>
        <v>#REF!</v>
      </c>
      <c r="G342" s="43" t="str">
        <f>IF(COUNT(systemtable[[#This Row],[RFI Issued Date]:[PL Received
Date]])=3,"OK","")</f>
        <v/>
      </c>
      <c r="H342" s="44" t="str">
        <f>IF(systemtable[[#This Row],[REJECTED]]&gt;0,"Status5","status"&amp;COUNT(systemtable[[#This Row],[RFI Issued Date]:[PL Received
Date]])+1)</f>
        <v>status1</v>
      </c>
      <c r="I342" s="45"/>
      <c r="J342" s="45"/>
      <c r="K342" s="45"/>
      <c r="L342" s="46"/>
    </row>
    <row r="343" spans="1:12">
      <c r="A343" s="46"/>
      <c r="B343" s="33"/>
      <c r="C343" s="42"/>
      <c r="D343" s="52"/>
      <c r="E343" s="42"/>
      <c r="F343" s="42" t="e">
        <f>VLOOKUP(systemtable[[#This Row],[Sub-System]],#REF!,4,FALSE)</f>
        <v>#REF!</v>
      </c>
      <c r="G343" s="43" t="str">
        <f>IF(COUNT(systemtable[[#This Row],[RFI Issued Date]:[PL Received
Date]])=3,"OK","")</f>
        <v/>
      </c>
      <c r="H343" s="44" t="str">
        <f>IF(systemtable[[#This Row],[REJECTED]]&gt;0,"Status5","status"&amp;COUNT(systemtable[[#This Row],[RFI Issued Date]:[PL Received
Date]])+1)</f>
        <v>status1</v>
      </c>
      <c r="I343" s="45"/>
      <c r="J343" s="45"/>
      <c r="K343" s="45"/>
      <c r="L343" s="46"/>
    </row>
    <row r="344" spans="1:12">
      <c r="A344" s="46"/>
      <c r="B344" s="33"/>
      <c r="C344" s="42"/>
      <c r="D344" s="52"/>
      <c r="E344" s="42"/>
      <c r="F344" s="42" t="e">
        <f>VLOOKUP(systemtable[[#This Row],[Sub-System]],#REF!,4,FALSE)</f>
        <v>#REF!</v>
      </c>
      <c r="G344" s="43" t="str">
        <f>IF(COUNT(systemtable[[#This Row],[RFI Issued Date]:[PL Received
Date]])=3,"OK","")</f>
        <v/>
      </c>
      <c r="H344" s="44" t="str">
        <f>IF(systemtable[[#This Row],[REJECTED]]&gt;0,"Status5","status"&amp;COUNT(systemtable[[#This Row],[RFI Issued Date]:[PL Received
Date]])+1)</f>
        <v>status1</v>
      </c>
      <c r="I344" s="45"/>
      <c r="J344" s="45"/>
      <c r="K344" s="45"/>
      <c r="L344" s="46"/>
    </row>
    <row r="345" spans="1:12">
      <c r="A345" s="46"/>
      <c r="B345" s="32"/>
      <c r="C345" s="42"/>
      <c r="D345" s="52"/>
      <c r="E345" s="42"/>
      <c r="F345" s="42" t="e">
        <f>VLOOKUP(systemtable[[#This Row],[Sub-System]],#REF!,4,FALSE)</f>
        <v>#REF!</v>
      </c>
      <c r="G345" s="43" t="str">
        <f>IF(COUNT(systemtable[[#This Row],[RFI Issued Date]:[PL Received
Date]])=3,"OK","")</f>
        <v/>
      </c>
      <c r="H345" s="44" t="str">
        <f>IF(systemtable[[#This Row],[REJECTED]]&gt;0,"Status5","status"&amp;COUNT(systemtable[[#This Row],[RFI Issued Date]:[PL Received
Date]])+1)</f>
        <v>status1</v>
      </c>
      <c r="I345" s="45"/>
      <c r="J345" s="45"/>
      <c r="K345" s="45"/>
      <c r="L345" s="46"/>
    </row>
    <row r="346" spans="1:12">
      <c r="A346" s="46"/>
      <c r="B346" s="40"/>
      <c r="C346" s="42"/>
      <c r="D346" s="52"/>
      <c r="E346" s="42"/>
      <c r="F346" s="42" t="e">
        <f>VLOOKUP(systemtable[[#This Row],[Sub-System]],#REF!,4,FALSE)</f>
        <v>#REF!</v>
      </c>
      <c r="G346" s="43" t="str">
        <f>IF(COUNT(systemtable[[#This Row],[RFI Issued Date]:[PL Received
Date]])=3,"OK","")</f>
        <v/>
      </c>
      <c r="H346" s="44" t="str">
        <f>IF(systemtable[[#This Row],[REJECTED]]&gt;0,"Status5","status"&amp;COUNT(systemtable[[#This Row],[RFI Issued Date]:[PL Received
Date]])+1)</f>
        <v>status1</v>
      </c>
      <c r="I346" s="45"/>
      <c r="J346" s="45"/>
      <c r="K346" s="45"/>
      <c r="L346" s="46"/>
    </row>
    <row r="347" spans="1:12">
      <c r="A347" s="46"/>
      <c r="B347" s="31"/>
      <c r="C347" s="42"/>
      <c r="D347" s="52"/>
      <c r="E347" s="42"/>
      <c r="F347" s="42" t="e">
        <f>VLOOKUP(systemtable[[#This Row],[Sub-System]],#REF!,4,FALSE)</f>
        <v>#REF!</v>
      </c>
      <c r="G347" s="43" t="str">
        <f>IF(COUNT(systemtable[[#This Row],[RFI Issued Date]:[PL Received
Date]])=3,"OK","")</f>
        <v/>
      </c>
      <c r="H347" s="44" t="str">
        <f>IF(systemtable[[#This Row],[REJECTED]]&gt;0,"Status5","status"&amp;COUNT(systemtable[[#This Row],[RFI Issued Date]:[PL Received
Date]])+1)</f>
        <v>status1</v>
      </c>
      <c r="I347" s="45"/>
      <c r="J347" s="45"/>
      <c r="K347" s="45"/>
      <c r="L347" s="46"/>
    </row>
    <row r="348" spans="1:12">
      <c r="A348" s="46"/>
      <c r="B348"/>
      <c r="C348" s="42"/>
      <c r="D348" s="52"/>
      <c r="E348" s="42"/>
      <c r="F348" s="42" t="e">
        <f>VLOOKUP(systemtable[[#This Row],[Sub-System]],#REF!,4,FALSE)</f>
        <v>#REF!</v>
      </c>
      <c r="G348" s="43" t="str">
        <f>IF(COUNT(systemtable[[#This Row],[RFI Issued Date]:[PL Received
Date]])=3,"OK","")</f>
        <v/>
      </c>
      <c r="H348" s="44" t="str">
        <f>IF(systemtable[[#This Row],[REJECTED]]&gt;0,"Status5","status"&amp;COUNT(systemtable[[#This Row],[RFI Issued Date]:[PL Received
Date]])+1)</f>
        <v>status1</v>
      </c>
      <c r="I348" s="45"/>
      <c r="J348" s="45"/>
      <c r="K348" s="45"/>
      <c r="L348" s="46"/>
    </row>
    <row r="349" spans="1:12">
      <c r="A349" s="46"/>
      <c r="B349" s="33"/>
      <c r="C349" s="42"/>
      <c r="D349" s="52"/>
      <c r="E349" s="42"/>
      <c r="F349" s="42" t="e">
        <f>VLOOKUP(systemtable[[#This Row],[Sub-System]],#REF!,4,FALSE)</f>
        <v>#REF!</v>
      </c>
      <c r="G349" s="43" t="str">
        <f>IF(COUNT(systemtable[[#This Row],[RFI Issued Date]:[PL Received
Date]])=3,"OK","")</f>
        <v/>
      </c>
      <c r="H349" s="44" t="str">
        <f>IF(systemtable[[#This Row],[REJECTED]]&gt;0,"Status5","status"&amp;COUNT(systemtable[[#This Row],[RFI Issued Date]:[PL Received
Date]])+1)</f>
        <v>status1</v>
      </c>
      <c r="I349" s="45"/>
      <c r="J349" s="45"/>
      <c r="K349" s="45"/>
      <c r="L349" s="46"/>
    </row>
    <row r="350" spans="1:12">
      <c r="A350" s="46"/>
      <c r="B350" s="33"/>
      <c r="C350" s="42"/>
      <c r="D350" s="52"/>
      <c r="E350" s="42"/>
      <c r="F350" s="42" t="e">
        <f>VLOOKUP(systemtable[[#This Row],[Sub-System]],#REF!,4,FALSE)</f>
        <v>#REF!</v>
      </c>
      <c r="G350" s="43" t="str">
        <f>IF(COUNT(systemtable[[#This Row],[RFI Issued Date]:[PL Received
Date]])=3,"OK","")</f>
        <v/>
      </c>
      <c r="H350" s="44" t="str">
        <f>IF(systemtable[[#This Row],[REJECTED]]&gt;0,"Status5","status"&amp;COUNT(systemtable[[#This Row],[RFI Issued Date]:[PL Received
Date]])+1)</f>
        <v>status1</v>
      </c>
      <c r="I350" s="45"/>
      <c r="J350" s="45"/>
      <c r="K350" s="45"/>
      <c r="L350" s="46"/>
    </row>
    <row r="351" spans="1:12">
      <c r="A351" s="46"/>
      <c r="B351" s="31"/>
      <c r="C351" s="42"/>
      <c r="D351" s="52"/>
      <c r="E351" s="42"/>
      <c r="F351" s="42" t="e">
        <f>VLOOKUP(systemtable[[#This Row],[Sub-System]],#REF!,4,FALSE)</f>
        <v>#REF!</v>
      </c>
      <c r="G351" s="43" t="str">
        <f>IF(COUNT(systemtable[[#This Row],[RFI Issued Date]:[PL Received
Date]])=3,"OK","")</f>
        <v/>
      </c>
      <c r="H351" s="44" t="str">
        <f>IF(systemtable[[#This Row],[REJECTED]]&gt;0,"Status5","status"&amp;COUNT(systemtable[[#This Row],[RFI Issued Date]:[PL Received
Date]])+1)</f>
        <v>status1</v>
      </c>
      <c r="I351" s="45"/>
      <c r="J351" s="45"/>
      <c r="K351" s="45"/>
      <c r="L351" s="46"/>
    </row>
    <row r="352" spans="1:12">
      <c r="A352" s="46"/>
      <c r="B352" s="31"/>
      <c r="C352" s="42"/>
      <c r="D352" s="52"/>
      <c r="E352" s="42"/>
      <c r="F352" s="42" t="e">
        <f>VLOOKUP(systemtable[[#This Row],[Sub-System]],#REF!,4,FALSE)</f>
        <v>#REF!</v>
      </c>
      <c r="G352" s="43" t="str">
        <f>IF(COUNT(systemtable[[#This Row],[RFI Issued Date]:[PL Received
Date]])=3,"OK","")</f>
        <v/>
      </c>
      <c r="H352" s="44" t="str">
        <f>IF(systemtable[[#This Row],[REJECTED]]&gt;0,"Status5","status"&amp;COUNT(systemtable[[#This Row],[RFI Issued Date]:[PL Received
Date]])+1)</f>
        <v>status1</v>
      </c>
      <c r="I352" s="45"/>
      <c r="J352" s="45"/>
      <c r="K352" s="45"/>
      <c r="L352" s="46"/>
    </row>
    <row r="353" spans="1:12">
      <c r="A353" s="46"/>
      <c r="B353"/>
      <c r="C353" s="42"/>
      <c r="D353" s="52"/>
      <c r="E353" s="42"/>
      <c r="F353" s="42" t="e">
        <f>VLOOKUP(systemtable[[#This Row],[Sub-System]],#REF!,4,FALSE)</f>
        <v>#REF!</v>
      </c>
      <c r="G353" s="43" t="str">
        <f>IF(COUNT(systemtable[[#This Row],[RFI Issued Date]:[PL Received
Date]])=3,"OK","")</f>
        <v/>
      </c>
      <c r="H353" s="44" t="str">
        <f>IF(systemtable[[#This Row],[REJECTED]]&gt;0,"Status5","status"&amp;COUNT(systemtable[[#This Row],[RFI Issued Date]:[PL Received
Date]])+1)</f>
        <v>status1</v>
      </c>
      <c r="I353" s="45"/>
      <c r="J353" s="45"/>
      <c r="K353" s="45"/>
      <c r="L353" s="46"/>
    </row>
    <row r="354" spans="1:12">
      <c r="A354" s="46"/>
      <c r="B354"/>
      <c r="C354" s="42"/>
      <c r="D354" s="52"/>
      <c r="E354" s="42"/>
      <c r="F354" s="42" t="e">
        <f>VLOOKUP(systemtable[[#This Row],[Sub-System]],#REF!,4,FALSE)</f>
        <v>#REF!</v>
      </c>
      <c r="G354" s="43" t="str">
        <f>IF(COUNT(systemtable[[#This Row],[RFI Issued Date]:[PL Received
Date]])=3,"OK","")</f>
        <v/>
      </c>
      <c r="H354" s="44" t="str">
        <f>IF(systemtable[[#This Row],[REJECTED]]&gt;0,"Status5","status"&amp;COUNT(systemtable[[#This Row],[RFI Issued Date]:[PL Received
Date]])+1)</f>
        <v>status1</v>
      </c>
      <c r="I354" s="45"/>
      <c r="J354" s="45"/>
      <c r="K354" s="45"/>
      <c r="L354" s="46"/>
    </row>
    <row r="355" spans="1:12">
      <c r="A355" s="46"/>
      <c r="B355"/>
      <c r="C355" s="42"/>
      <c r="D355" s="52"/>
      <c r="E355" s="42"/>
      <c r="F355" s="42" t="e">
        <f>VLOOKUP(systemtable[[#This Row],[Sub-System]],#REF!,4,FALSE)</f>
        <v>#REF!</v>
      </c>
      <c r="G355" s="43" t="str">
        <f>IF(COUNT(systemtable[[#This Row],[RFI Issued Date]:[PL Received
Date]])=3,"OK","")</f>
        <v/>
      </c>
      <c r="H355" s="44" t="str">
        <f>IF(systemtable[[#This Row],[REJECTED]]&gt;0,"Status5","status"&amp;COUNT(systemtable[[#This Row],[RFI Issued Date]:[PL Received
Date]])+1)</f>
        <v>status1</v>
      </c>
      <c r="I355" s="45"/>
      <c r="J355" s="45"/>
      <c r="K355" s="45"/>
      <c r="L355" s="46"/>
    </row>
    <row r="356" spans="1:12">
      <c r="A356" s="46"/>
      <c r="B356"/>
      <c r="C356" s="42"/>
      <c r="D356" s="52"/>
      <c r="E356" s="42"/>
      <c r="F356" s="42" t="e">
        <f>VLOOKUP(systemtable[[#This Row],[Sub-System]],#REF!,4,FALSE)</f>
        <v>#REF!</v>
      </c>
      <c r="G356" s="43" t="str">
        <f>IF(COUNT(systemtable[[#This Row],[RFI Issued Date]:[PL Received
Date]])=3,"OK","")</f>
        <v/>
      </c>
      <c r="H356" s="44" t="str">
        <f>IF(systemtable[[#This Row],[REJECTED]]&gt;0,"Status5","status"&amp;COUNT(systemtable[[#This Row],[RFI Issued Date]:[PL Received
Date]])+1)</f>
        <v>status1</v>
      </c>
      <c r="I356" s="45"/>
      <c r="J356" s="45"/>
      <c r="K356" s="45"/>
      <c r="L356" s="46"/>
    </row>
    <row r="357" spans="1:12">
      <c r="A357" s="46"/>
      <c r="B357"/>
      <c r="C357" s="42"/>
      <c r="D357" s="52"/>
      <c r="E357" s="42"/>
      <c r="F357" s="42" t="e">
        <f>VLOOKUP(systemtable[[#This Row],[Sub-System]],#REF!,4,FALSE)</f>
        <v>#REF!</v>
      </c>
      <c r="G357" s="43" t="str">
        <f>IF(COUNT(systemtable[[#This Row],[RFI Issued Date]:[PL Received
Date]])=3,"OK","")</f>
        <v/>
      </c>
      <c r="H357" s="44" t="str">
        <f>IF(systemtable[[#This Row],[REJECTED]]&gt;0,"Status5","status"&amp;COUNT(systemtable[[#This Row],[RFI Issued Date]:[PL Received
Date]])+1)</f>
        <v>status1</v>
      </c>
      <c r="I357" s="45"/>
      <c r="J357" s="45"/>
      <c r="K357" s="45"/>
      <c r="L357" s="46"/>
    </row>
    <row r="358" spans="1:12">
      <c r="A358" s="46"/>
      <c r="B358"/>
      <c r="C358" s="42"/>
      <c r="D358" s="52"/>
      <c r="E358" s="42"/>
      <c r="F358" s="42" t="e">
        <f>VLOOKUP(systemtable[[#This Row],[Sub-System]],#REF!,4,FALSE)</f>
        <v>#REF!</v>
      </c>
      <c r="G358" s="43" t="str">
        <f>IF(COUNT(systemtable[[#This Row],[RFI Issued Date]:[PL Received
Date]])=3,"OK","")</f>
        <v/>
      </c>
      <c r="H358" s="44" t="str">
        <f>IF(systemtable[[#This Row],[REJECTED]]&gt;0,"Status5","status"&amp;COUNT(systemtable[[#This Row],[RFI Issued Date]:[PL Received
Date]])+1)</f>
        <v>status1</v>
      </c>
      <c r="I358" s="45"/>
      <c r="J358" s="45"/>
      <c r="K358" s="45"/>
      <c r="L358" s="46"/>
    </row>
    <row r="359" spans="1:12">
      <c r="A359" s="46"/>
      <c r="B359"/>
      <c r="C359" s="42"/>
      <c r="D359" s="52"/>
      <c r="E359" s="42"/>
      <c r="F359" s="42" t="e">
        <f>VLOOKUP(systemtable[[#This Row],[Sub-System]],#REF!,4,FALSE)</f>
        <v>#REF!</v>
      </c>
      <c r="G359" s="43" t="str">
        <f>IF(COUNT(systemtable[[#This Row],[RFI Issued Date]:[PL Received
Date]])=3,"OK","")</f>
        <v/>
      </c>
      <c r="H359" s="44" t="str">
        <f>IF(systemtable[[#This Row],[REJECTED]]&gt;0,"Status5","status"&amp;COUNT(systemtable[[#This Row],[RFI Issued Date]:[PL Received
Date]])+1)</f>
        <v>status1</v>
      </c>
      <c r="I359" s="45"/>
      <c r="J359" s="45"/>
      <c r="K359" s="45"/>
      <c r="L359" s="46"/>
    </row>
    <row r="360" spans="1:12">
      <c r="A360" s="46"/>
      <c r="B360"/>
      <c r="C360" s="42"/>
      <c r="D360" s="52"/>
      <c r="E360" s="42"/>
      <c r="F360" s="42" t="e">
        <f>VLOOKUP(systemtable[[#This Row],[Sub-System]],#REF!,4,FALSE)</f>
        <v>#REF!</v>
      </c>
      <c r="G360" s="43" t="str">
        <f>IF(COUNT(systemtable[[#This Row],[RFI Issued Date]:[PL Received
Date]])=3,"OK","")</f>
        <v/>
      </c>
      <c r="H360" s="44" t="str">
        <f>IF(systemtable[[#This Row],[REJECTED]]&gt;0,"Status5","status"&amp;COUNT(systemtable[[#This Row],[RFI Issued Date]:[PL Received
Date]])+1)</f>
        <v>status1</v>
      </c>
      <c r="I360" s="45"/>
      <c r="J360" s="45"/>
      <c r="K360" s="45"/>
      <c r="L360" s="46"/>
    </row>
    <row r="361" spans="1:12">
      <c r="A361" s="46"/>
      <c r="B361"/>
      <c r="C361" s="42"/>
      <c r="D361" s="52"/>
      <c r="E361" s="42"/>
      <c r="F361" s="42" t="e">
        <f>VLOOKUP(systemtable[[#This Row],[Sub-System]],#REF!,4,FALSE)</f>
        <v>#REF!</v>
      </c>
      <c r="G361" s="43" t="str">
        <f>IF(COUNT(systemtable[[#This Row],[RFI Issued Date]:[PL Received
Date]])=3,"OK","")</f>
        <v/>
      </c>
      <c r="H361" s="44" t="str">
        <f>IF(systemtable[[#This Row],[REJECTED]]&gt;0,"Status5","status"&amp;COUNT(systemtable[[#This Row],[RFI Issued Date]:[PL Received
Date]])+1)</f>
        <v>status1</v>
      </c>
      <c r="I361" s="45"/>
      <c r="J361" s="45"/>
      <c r="K361" s="45"/>
      <c r="L361" s="46"/>
    </row>
    <row r="362" spans="1:12">
      <c r="A362" s="46"/>
      <c r="B362"/>
      <c r="C362" s="42"/>
      <c r="D362" s="52"/>
      <c r="E362" s="42"/>
      <c r="F362" s="42" t="e">
        <f>VLOOKUP(systemtable[[#This Row],[Sub-System]],#REF!,4,FALSE)</f>
        <v>#REF!</v>
      </c>
      <c r="G362" s="43" t="str">
        <f>IF(COUNT(systemtable[[#This Row],[RFI Issued Date]:[PL Received
Date]])=3,"OK","")</f>
        <v/>
      </c>
      <c r="H362" s="44" t="str">
        <f>IF(systemtable[[#This Row],[REJECTED]]&gt;0,"Status5","status"&amp;COUNT(systemtable[[#This Row],[RFI Issued Date]:[PL Received
Date]])+1)</f>
        <v>status1</v>
      </c>
      <c r="I362" s="45"/>
      <c r="J362" s="45"/>
      <c r="K362" s="45"/>
      <c r="L362" s="46"/>
    </row>
    <row r="363" spans="1:12">
      <c r="A363" s="46"/>
      <c r="B363"/>
      <c r="C363" s="42"/>
      <c r="D363" s="52"/>
      <c r="E363" s="42"/>
      <c r="F363" s="42" t="e">
        <f>VLOOKUP(systemtable[[#This Row],[Sub-System]],#REF!,4,FALSE)</f>
        <v>#REF!</v>
      </c>
      <c r="G363" s="43" t="str">
        <f>IF(COUNT(systemtable[[#This Row],[RFI Issued Date]:[PL Received
Date]])=3,"OK","")</f>
        <v/>
      </c>
      <c r="H363" s="44" t="str">
        <f>IF(systemtable[[#This Row],[REJECTED]]&gt;0,"Status5","status"&amp;COUNT(systemtable[[#This Row],[RFI Issued Date]:[PL Received
Date]])+1)</f>
        <v>status1</v>
      </c>
      <c r="I363" s="45"/>
      <c r="J363" s="45"/>
      <c r="K363" s="45"/>
      <c r="L363" s="46"/>
    </row>
    <row r="364" spans="1:12">
      <c r="A364" s="46"/>
      <c r="B364"/>
      <c r="C364" s="42"/>
      <c r="D364" s="52"/>
      <c r="E364" s="42"/>
      <c r="F364" s="42" t="e">
        <f>VLOOKUP(systemtable[[#This Row],[Sub-System]],#REF!,4,FALSE)</f>
        <v>#REF!</v>
      </c>
      <c r="G364" s="43" t="str">
        <f>IF(COUNT(systemtable[[#This Row],[RFI Issued Date]:[PL Received
Date]])=3,"OK","")</f>
        <v/>
      </c>
      <c r="H364" s="44" t="str">
        <f>IF(systemtable[[#This Row],[REJECTED]]&gt;0,"Status5","status"&amp;COUNT(systemtable[[#This Row],[RFI Issued Date]:[PL Received
Date]])+1)</f>
        <v>status1</v>
      </c>
      <c r="I364" s="45"/>
      <c r="J364" s="45"/>
      <c r="K364" s="45"/>
      <c r="L364" s="46"/>
    </row>
    <row r="871" spans="6:6">
      <c r="F871" s="57" t="s">
        <v>663</v>
      </c>
    </row>
  </sheetData>
  <mergeCells count="1">
    <mergeCell ref="I4:K4"/>
  </mergeCells>
  <phoneticPr fontId="20" type="noConversion"/>
  <dataValidations count="1">
    <dataValidation allowBlank="1" showInputMessage="1" showErrorMessage="1" error="Input OK or -" promptTitle="OK or -" sqref="G1:G1048576" xr:uid="{00000000-0002-0000-0100-000000000000}"/>
  </dataValidations>
  <pageMargins left="0.7" right="0.7" top="0.75" bottom="0.75" header="0.3" footer="0.3"/>
  <pageSetup paperSize="9" orientation="landscape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4"/>
  <sheetViews>
    <sheetView zoomScale="75" zoomScaleNormal="75" workbookViewId="0">
      <selection activeCell="D41" sqref="D41"/>
    </sheetView>
  </sheetViews>
  <sheetFormatPr defaultRowHeight="15"/>
  <cols>
    <col min="1" max="1" width="11.42578125" bestFit="1" customWidth="1"/>
    <col min="2" max="2" width="14.42578125" style="10" customWidth="1"/>
    <col min="3" max="3" width="16.140625" style="10" customWidth="1"/>
    <col min="4" max="4" width="16" customWidth="1"/>
  </cols>
  <sheetData>
    <row r="1" spans="1:4" s="8" customFormat="1">
      <c r="B1" s="9" t="s">
        <v>9</v>
      </c>
      <c r="C1" s="9" t="s">
        <v>10</v>
      </c>
      <c r="D1" s="8" t="s">
        <v>19</v>
      </c>
    </row>
    <row r="2" spans="1:4">
      <c r="A2" t="s">
        <v>0</v>
      </c>
      <c r="B2" s="83" t="s">
        <v>12</v>
      </c>
      <c r="C2" s="11"/>
      <c r="D2" t="s">
        <v>673</v>
      </c>
    </row>
    <row r="3" spans="1:4">
      <c r="A3" t="s">
        <v>1</v>
      </c>
      <c r="B3" s="89" t="s">
        <v>12</v>
      </c>
      <c r="C3" s="16"/>
      <c r="D3" t="s">
        <v>667</v>
      </c>
    </row>
    <row r="4" spans="1:4">
      <c r="A4" t="s">
        <v>2</v>
      </c>
      <c r="B4" s="82" t="s">
        <v>12</v>
      </c>
      <c r="C4" s="74"/>
      <c r="D4" t="s">
        <v>665</v>
      </c>
    </row>
    <row r="5" spans="1:4">
      <c r="A5" t="s">
        <v>3</v>
      </c>
      <c r="B5" s="78" t="s">
        <v>12</v>
      </c>
      <c r="C5" s="12"/>
      <c r="D5" t="s">
        <v>671</v>
      </c>
    </row>
    <row r="6" spans="1:4">
      <c r="A6" t="s">
        <v>4</v>
      </c>
      <c r="B6" s="73" t="s">
        <v>12</v>
      </c>
      <c r="C6" s="75"/>
      <c r="D6" t="s">
        <v>666</v>
      </c>
    </row>
    <row r="7" spans="1:4">
      <c r="A7" t="s">
        <v>5</v>
      </c>
      <c r="B7" s="15" t="s">
        <v>12</v>
      </c>
      <c r="C7" s="13"/>
    </row>
    <row r="8" spans="1:4">
      <c r="A8" t="s">
        <v>6</v>
      </c>
      <c r="B8" s="15" t="s">
        <v>12</v>
      </c>
      <c r="C8" s="13"/>
    </row>
    <row r="9" spans="1:4">
      <c r="A9" t="s">
        <v>7</v>
      </c>
      <c r="B9" s="15" t="s">
        <v>12</v>
      </c>
      <c r="C9" s="13"/>
    </row>
    <row r="10" spans="1:4">
      <c r="A10" t="s">
        <v>8</v>
      </c>
      <c r="B10" s="15" t="s">
        <v>12</v>
      </c>
      <c r="C10" s="13"/>
    </row>
    <row r="11" spans="1:4">
      <c r="B11" s="14"/>
      <c r="C11" s="14"/>
    </row>
    <row r="12" spans="1:4">
      <c r="A12" t="s">
        <v>11</v>
      </c>
      <c r="B12" s="21"/>
      <c r="C12" s="22"/>
    </row>
    <row r="14" spans="1:4">
      <c r="A14" t="s">
        <v>17</v>
      </c>
      <c r="B14" s="10">
        <v>10</v>
      </c>
    </row>
  </sheetData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Skyline</vt:lpstr>
      <vt:lpstr>Sub-System</vt:lpstr>
      <vt:lpstr>INF</vt:lpstr>
      <vt:lpstr>fontsize</vt:lpstr>
      <vt:lpstr>listcomp</vt:lpstr>
      <vt:lpstr>listplan</vt:lpstr>
      <vt:lpstr>liststatus</vt:lpstr>
      <vt:lpstr>listsystem</vt:lpstr>
      <vt:lpstr>skylinearea</vt:lpstr>
      <vt:lpstr>skylineareabg</vt:lpstr>
      <vt:lpstr>skylinedate</vt:lpstr>
      <vt:lpstr>status1</vt:lpstr>
      <vt:lpstr>status2</vt:lpstr>
      <vt:lpstr>status3</vt:lpstr>
      <vt:lpstr>status4</vt:lpstr>
      <vt:lpstr>status5</vt:lpstr>
      <vt:lpstr>status6</vt:lpstr>
      <vt:lpstr>status7</vt:lpstr>
      <vt:lpstr>status8</vt:lpstr>
      <vt:lpstr>status9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Indra Pandu Prasetyo</dc:creator>
  <cp:lastModifiedBy>Ying Wang-External</cp:lastModifiedBy>
  <dcterms:created xsi:type="dcterms:W3CDTF">2018-11-24T11:49:51Z</dcterms:created>
  <dcterms:modified xsi:type="dcterms:W3CDTF">2020-10-27T01:35:26Z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remi.lopez-uroz@technipfmc.com</vt:lpwstr>
  </property>
  <property fmtid="{D5CDD505-2E9C-101B-9397-08002B2CF9AE}" pid="5" name="MSIP_Label_3b48b937-0ae3-46f5-b32e-f3232b5be847_SetDate">
    <vt:lpwstr>2020-09-09T03:03:23.4836889Z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f79752b-c5ee-4ad3-a24f-e300e7b653f3_Enabled">
    <vt:lpwstr>True</vt:lpwstr>
  </property>
  <property fmtid="{D5CDD505-2E9C-101B-9397-08002B2CF9AE}" pid="10" name="MSIP_Label_8f79752b-c5ee-4ad3-a24f-e300e7b653f3_SiteId">
    <vt:lpwstr>9179d01a-e94c-4488-b5f0-4554bc474f8c</vt:lpwstr>
  </property>
  <property fmtid="{D5CDD505-2E9C-101B-9397-08002B2CF9AE}" pid="11" name="MSIP_Label_8f79752b-c5ee-4ad3-a24f-e300e7b653f3_Owner">
    <vt:lpwstr>remi.lopez-uroz@technipfmc.com</vt:lpwstr>
  </property>
  <property fmtid="{D5CDD505-2E9C-101B-9397-08002B2CF9AE}" pid="12" name="MSIP_Label_8f79752b-c5ee-4ad3-a24f-e300e7b653f3_SetDate">
    <vt:lpwstr>2020-09-09T03:03:23.4836889Z</vt:lpwstr>
  </property>
  <property fmtid="{D5CDD505-2E9C-101B-9397-08002B2CF9AE}" pid="13" name="MSIP_Label_8f79752b-c5ee-4ad3-a24f-e300e7b653f3_Name">
    <vt:lpwstr>Anyone - No Protection</vt:lpwstr>
  </property>
  <property fmtid="{D5CDD505-2E9C-101B-9397-08002B2CF9AE}" pid="14" name="MSIP_Label_8f79752b-c5ee-4ad3-a24f-e300e7b653f3_Application">
    <vt:lpwstr>Microsoft Azure Information Protection</vt:lpwstr>
  </property>
  <property fmtid="{D5CDD505-2E9C-101B-9397-08002B2CF9AE}" pid="15" name="MSIP_Label_8f79752b-c5ee-4ad3-a24f-e300e7b653f3_Parent">
    <vt:lpwstr>3b48b937-0ae3-46f5-b32e-f3232b5be847</vt:lpwstr>
  </property>
  <property fmtid="{D5CDD505-2E9C-101B-9397-08002B2CF9AE}" pid="16" name="MSIP_Label_8f79752b-c5ee-4ad3-a24f-e300e7b653f3_Extended_MSFT_Method">
    <vt:lpwstr>Automatic</vt:lpwstr>
  </property>
  <property fmtid="{D5CDD505-2E9C-101B-9397-08002B2CF9AE}" pid="17" name="Sensitivity">
    <vt:lpwstr>General Anyone - No Protection</vt:lpwstr>
  </property>
</Properties>
</file>